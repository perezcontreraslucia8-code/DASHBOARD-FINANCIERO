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NOTEBOOK LUCIA\"/>
    </mc:Choice>
  </mc:AlternateContent>
  <xr:revisionPtr revIDLastSave="0" documentId="13_ncr:1_{92D4DAA6-05AD-4213-9F11-9F9A6A280255}" xr6:coauthVersionLast="47" xr6:coauthVersionMax="47" xr10:uidLastSave="{00000000-0000-0000-0000-000000000000}"/>
  <bookViews>
    <workbookView xWindow="-120" yWindow="-120" windowWidth="29040" windowHeight="15720" tabRatio="737" activeTab="5" xr2:uid="{5439F423-3604-4004-9610-FD9B60EC7C7E}"/>
  </bookViews>
  <sheets>
    <sheet name="FLUJO DE CAJA" sheetId="2" r:id="rId1"/>
    <sheet name="Facturas - NC" sheetId="4" r:id="rId2"/>
    <sheet name="Facturas USD" sheetId="7" r:id="rId3"/>
    <sheet name="Facturas lxj" sheetId="8" r:id="rId4"/>
    <sheet name="Consolidado" sheetId="5" state="hidden" r:id="rId5"/>
    <sheet name="Registro de cheques" sheetId="6" r:id="rId6"/>
    <sheet name="Costos indirectos" sheetId="10" r:id="rId7"/>
    <sheet name="Sueldos" sheetId="11" r:id="rId8"/>
    <sheet name="Sueldos convenio" sheetId="12" r:id="rId9"/>
  </sheets>
  <externalReferences>
    <externalReference r:id="rId10"/>
    <externalReference r:id="rId11"/>
    <externalReference r:id="rId12"/>
  </externalReferences>
  <definedNames>
    <definedName name="_Fill" hidden="1">#REF!</definedName>
    <definedName name="_xlnm._FilterDatabase" localSheetId="6" hidden="1">'Costos indirectos'!$B$110:$S$152</definedName>
    <definedName name="_xlnm._FilterDatabase" localSheetId="1" hidden="1">'Facturas - NC'!$A$1:$U$152</definedName>
    <definedName name="_xlnm.Print_Area" localSheetId="5">Tabla1[[#All],[FECHA DE EMISION]:[SALDO]]</definedName>
    <definedName name="Cuota_Mensual">OFFSET('[1]Simulador UVA'!$K$28,,,COUNT('[1]Simulador UVA'!$K$28:$K$387),1)</definedName>
    <definedName name="Número_Cuotas">OFFSET('[1]Simulador UVA'!$A$28,,,COUNT('[1]Simulador UVA'!$A$28:$A$387),1)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8" i="6" l="1"/>
  <c r="C138" i="6"/>
  <c r="G137" i="6"/>
  <c r="C137" i="6"/>
  <c r="G136" i="6"/>
  <c r="C136" i="6"/>
  <c r="G135" i="6"/>
  <c r="C135" i="6"/>
  <c r="G134" i="6"/>
  <c r="C134" i="6"/>
  <c r="G133" i="6"/>
  <c r="C133" i="6"/>
  <c r="G132" i="6"/>
  <c r="C132" i="6"/>
  <c r="G131" i="6"/>
  <c r="C131" i="6"/>
  <c r="G130" i="6"/>
  <c r="C130" i="6"/>
  <c r="G129" i="6"/>
  <c r="C129" i="6"/>
  <c r="G128" i="6"/>
  <c r="C128" i="6"/>
  <c r="G127" i="6"/>
  <c r="C127" i="6"/>
  <c r="G126" i="6"/>
  <c r="C126" i="6"/>
  <c r="G125" i="6"/>
  <c r="C125" i="6"/>
  <c r="G124" i="6"/>
  <c r="C124" i="6"/>
  <c r="G123" i="6"/>
  <c r="C123" i="6"/>
  <c r="G122" i="6"/>
  <c r="C122" i="6"/>
  <c r="G121" i="6"/>
  <c r="C121" i="6"/>
  <c r="G120" i="6"/>
  <c r="C120" i="6"/>
  <c r="G119" i="6"/>
  <c r="C119" i="6"/>
  <c r="G118" i="6"/>
  <c r="C118" i="6"/>
  <c r="G117" i="6"/>
  <c r="C117" i="6"/>
  <c r="G116" i="6"/>
  <c r="C116" i="6"/>
  <c r="G115" i="6"/>
  <c r="C115" i="6"/>
  <c r="G114" i="6"/>
  <c r="C114" i="6"/>
  <c r="G113" i="6"/>
  <c r="C113" i="6"/>
  <c r="G112" i="6"/>
  <c r="C112" i="6"/>
  <c r="G111" i="6"/>
  <c r="C111" i="6"/>
  <c r="G110" i="6"/>
  <c r="C110" i="6"/>
  <c r="G109" i="6"/>
  <c r="C109" i="6"/>
  <c r="G108" i="6"/>
  <c r="C108" i="6"/>
  <c r="G107" i="6"/>
  <c r="C107" i="6"/>
  <c r="G106" i="6"/>
  <c r="C106" i="6"/>
  <c r="G105" i="6"/>
  <c r="C105" i="6"/>
  <c r="G104" i="6"/>
  <c r="C104" i="6"/>
  <c r="G103" i="6"/>
  <c r="C103" i="6"/>
  <c r="G102" i="6"/>
  <c r="C102" i="6"/>
  <c r="G101" i="6"/>
  <c r="C101" i="6"/>
  <c r="G100" i="6"/>
  <c r="C100" i="6"/>
  <c r="G99" i="6"/>
  <c r="C99" i="6"/>
  <c r="G98" i="6"/>
  <c r="C98" i="6"/>
  <c r="G97" i="6"/>
  <c r="C97" i="6"/>
  <c r="G96" i="6"/>
  <c r="C96" i="6"/>
  <c r="G95" i="6"/>
  <c r="C95" i="6"/>
  <c r="G94" i="6"/>
  <c r="C94" i="6"/>
  <c r="G93" i="6"/>
  <c r="C93" i="6"/>
  <c r="G92" i="6"/>
  <c r="C92" i="6"/>
  <c r="G91" i="6"/>
  <c r="C91" i="6"/>
  <c r="G90" i="6"/>
  <c r="C90" i="6"/>
  <c r="G89" i="6"/>
  <c r="C89" i="6"/>
  <c r="G88" i="6"/>
  <c r="C88" i="6"/>
  <c r="G87" i="6"/>
  <c r="C87" i="6"/>
  <c r="G86" i="6"/>
  <c r="C86" i="6"/>
  <c r="G85" i="6"/>
  <c r="C85" i="6"/>
  <c r="G84" i="6"/>
  <c r="C84" i="6"/>
  <c r="G83" i="6"/>
  <c r="C83" i="6"/>
  <c r="G82" i="6"/>
  <c r="C82" i="6"/>
  <c r="G81" i="6"/>
  <c r="C81" i="6"/>
  <c r="G80" i="6"/>
  <c r="C80" i="6"/>
  <c r="G79" i="6"/>
  <c r="C79" i="6"/>
  <c r="G78" i="6"/>
  <c r="C78" i="6"/>
  <c r="G77" i="6"/>
  <c r="C77" i="6"/>
  <c r="G76" i="6"/>
  <c r="C76" i="6"/>
  <c r="G75" i="6"/>
  <c r="C75" i="6"/>
  <c r="G74" i="6"/>
  <c r="C74" i="6"/>
  <c r="G73" i="6"/>
  <c r="C73" i="6"/>
  <c r="G72" i="6"/>
  <c r="C72" i="6"/>
  <c r="G71" i="6"/>
  <c r="C71" i="6"/>
  <c r="G70" i="6"/>
  <c r="C70" i="6"/>
  <c r="G69" i="6"/>
  <c r="C69" i="6"/>
  <c r="G68" i="6"/>
  <c r="C68" i="6"/>
  <c r="G67" i="6"/>
  <c r="C67" i="6"/>
  <c r="G66" i="6"/>
  <c r="C66" i="6"/>
  <c r="G65" i="6"/>
  <c r="C65" i="6"/>
  <c r="G64" i="6"/>
  <c r="C64" i="6"/>
  <c r="G63" i="6"/>
  <c r="C63" i="6"/>
  <c r="G62" i="6"/>
  <c r="C62" i="6"/>
  <c r="G61" i="6"/>
  <c r="C61" i="6"/>
  <c r="G60" i="6"/>
  <c r="C60" i="6"/>
  <c r="G59" i="6"/>
  <c r="C59" i="6"/>
  <c r="G58" i="6"/>
  <c r="C58" i="6"/>
  <c r="G57" i="6"/>
  <c r="C57" i="6"/>
  <c r="G56" i="6"/>
  <c r="C56" i="6"/>
  <c r="G55" i="6"/>
  <c r="C55" i="6"/>
  <c r="G54" i="6"/>
  <c r="C54" i="6"/>
  <c r="G53" i="6"/>
  <c r="C53" i="6"/>
  <c r="G52" i="6"/>
  <c r="C52" i="6"/>
  <c r="G51" i="6"/>
  <c r="C51" i="6"/>
  <c r="G50" i="6"/>
  <c r="C50" i="6"/>
  <c r="G49" i="6"/>
  <c r="C49" i="6"/>
  <c r="G48" i="6"/>
  <c r="C48" i="6"/>
  <c r="G47" i="6"/>
  <c r="C47" i="6"/>
  <c r="G46" i="6"/>
  <c r="C46" i="6"/>
  <c r="G45" i="6"/>
  <c r="C45" i="6"/>
  <c r="G44" i="6"/>
  <c r="C44" i="6"/>
  <c r="G43" i="6"/>
  <c r="C43" i="6"/>
  <c r="G42" i="6"/>
  <c r="C42" i="6"/>
  <c r="G41" i="6"/>
  <c r="C41" i="6"/>
  <c r="G40" i="6"/>
  <c r="C40" i="6"/>
  <c r="G39" i="6"/>
  <c r="C39" i="6"/>
  <c r="G38" i="6"/>
  <c r="C38" i="6"/>
  <c r="G37" i="6"/>
  <c r="C37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G25" i="6"/>
  <c r="C25" i="6"/>
  <c r="G24" i="6"/>
  <c r="C24" i="6"/>
  <c r="G23" i="6"/>
  <c r="C23" i="6"/>
  <c r="G22" i="6"/>
  <c r="C22" i="6"/>
  <c r="G21" i="6"/>
  <c r="C21" i="6"/>
  <c r="G20" i="6"/>
  <c r="C20" i="6"/>
  <c r="G19" i="6"/>
  <c r="C19" i="6"/>
  <c r="G18" i="6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G5" i="6"/>
  <c r="C5" i="6"/>
  <c r="G4" i="6"/>
  <c r="C4" i="6"/>
  <c r="G3" i="6"/>
  <c r="C3" i="6"/>
  <c r="G2" i="6"/>
  <c r="C2" i="6"/>
  <c r="T25" i="7" l="1"/>
  <c r="S25" i="7"/>
  <c r="R25" i="7"/>
  <c r="K25" i="7"/>
  <c r="M25" i="7" s="1"/>
  <c r="J25" i="7"/>
  <c r="T24" i="7"/>
  <c r="S24" i="7"/>
  <c r="R24" i="7" s="1"/>
  <c r="K24" i="7"/>
  <c r="M24" i="7" s="1"/>
  <c r="J24" i="7"/>
  <c r="T23" i="7"/>
  <c r="S23" i="7"/>
  <c r="R23" i="7"/>
  <c r="K23" i="7"/>
  <c r="M23" i="7" s="1"/>
  <c r="J23" i="7"/>
  <c r="T22" i="7"/>
  <c r="S22" i="7"/>
  <c r="R22" i="7" s="1"/>
  <c r="K22" i="7"/>
  <c r="M22" i="7" s="1"/>
  <c r="J22" i="7"/>
  <c r="T21" i="7"/>
  <c r="S21" i="7"/>
  <c r="R21" i="7"/>
  <c r="K21" i="7"/>
  <c r="L21" i="7" s="1"/>
  <c r="T20" i="7"/>
  <c r="S20" i="7"/>
  <c r="R20" i="7"/>
  <c r="L20" i="7"/>
  <c r="J20" i="7" s="1"/>
  <c r="K20" i="7"/>
  <c r="T19" i="7"/>
  <c r="S19" i="7"/>
  <c r="R19" i="7"/>
  <c r="K19" i="7"/>
  <c r="L19" i="7" s="1"/>
  <c r="M19" i="7" s="1"/>
  <c r="T18" i="7"/>
  <c r="S18" i="7"/>
  <c r="R18" i="7"/>
  <c r="K18" i="7"/>
  <c r="M18" i="7" s="1"/>
  <c r="J18" i="7"/>
  <c r="T17" i="7"/>
  <c r="S17" i="7"/>
  <c r="R17" i="7"/>
  <c r="L17" i="7"/>
  <c r="M17" i="7" s="1"/>
  <c r="K17" i="7"/>
  <c r="T16" i="7"/>
  <c r="S16" i="7"/>
  <c r="R16" i="7" s="1"/>
  <c r="K16" i="7"/>
  <c r="L16" i="7" s="1"/>
  <c r="T15" i="7"/>
  <c r="S15" i="7"/>
  <c r="R15" i="7"/>
  <c r="K15" i="7"/>
  <c r="T14" i="7"/>
  <c r="S14" i="7"/>
  <c r="R14" i="7"/>
  <c r="K14" i="7"/>
  <c r="M14" i="7" s="1"/>
  <c r="J14" i="7"/>
  <c r="T13" i="7"/>
  <c r="S13" i="7"/>
  <c r="R13" i="7" s="1"/>
  <c r="K13" i="7"/>
  <c r="T12" i="7"/>
  <c r="S12" i="7"/>
  <c r="R12" i="7"/>
  <c r="K12" i="7"/>
  <c r="L12" i="7" s="1"/>
  <c r="T11" i="7"/>
  <c r="S11" i="7"/>
  <c r="R11" i="7"/>
  <c r="K11" i="7"/>
  <c r="L11" i="7" s="1"/>
  <c r="T10" i="7"/>
  <c r="S10" i="7"/>
  <c r="R10" i="7"/>
  <c r="K10" i="7"/>
  <c r="M10" i="7" s="1"/>
  <c r="T9" i="7"/>
  <c r="S9" i="7"/>
  <c r="R9" i="7"/>
  <c r="K9" i="7"/>
  <c r="L9" i="7" s="1"/>
  <c r="T8" i="7"/>
  <c r="S8" i="7"/>
  <c r="R8" i="7"/>
  <c r="K8" i="7"/>
  <c r="L8" i="7" s="1"/>
  <c r="T7" i="7"/>
  <c r="S7" i="7"/>
  <c r="R7" i="7"/>
  <c r="K7" i="7"/>
  <c r="T6" i="7"/>
  <c r="S6" i="7"/>
  <c r="R6" i="7" s="1"/>
  <c r="K6" i="7"/>
  <c r="T5" i="7"/>
  <c r="S5" i="7"/>
  <c r="R5" i="7"/>
  <c r="K5" i="7"/>
  <c r="L5" i="7" s="1"/>
  <c r="T4" i="7"/>
  <c r="S4" i="7"/>
  <c r="R4" i="7"/>
  <c r="K4" i="7"/>
  <c r="L4" i="7" s="1"/>
  <c r="T3" i="7"/>
  <c r="S3" i="7"/>
  <c r="R3" i="7"/>
  <c r="L3" i="7"/>
  <c r="M3" i="7" s="1"/>
  <c r="K3" i="7"/>
  <c r="T2" i="7"/>
  <c r="S2" i="7"/>
  <c r="R2" i="7" s="1"/>
  <c r="K2" i="7"/>
  <c r="M2" i="7" s="1"/>
  <c r="J2" i="7"/>
  <c r="U178" i="4"/>
  <c r="T178" i="4"/>
  <c r="S178" i="4"/>
  <c r="R178" i="4"/>
  <c r="I178" i="4"/>
  <c r="K178" i="4" s="1"/>
  <c r="U177" i="4"/>
  <c r="S177" i="4"/>
  <c r="R177" i="4"/>
  <c r="K177" i="4"/>
  <c r="J177" i="4" s="1"/>
  <c r="I177" i="4"/>
  <c r="U176" i="4"/>
  <c r="T176" i="4"/>
  <c r="S176" i="4"/>
  <c r="R176" i="4"/>
  <c r="K176" i="4"/>
  <c r="I176" i="4"/>
  <c r="U175" i="4"/>
  <c r="T175" i="4"/>
  <c r="S175" i="4"/>
  <c r="R175" i="4" s="1"/>
  <c r="I175" i="4"/>
  <c r="K175" i="4" s="1"/>
  <c r="U174" i="4"/>
  <c r="T174" i="4"/>
  <c r="S174" i="4"/>
  <c r="R174" i="4"/>
  <c r="M174" i="4"/>
  <c r="K174" i="4"/>
  <c r="J174" i="4" s="1"/>
  <c r="I174" i="4"/>
  <c r="U173" i="4"/>
  <c r="T173" i="4"/>
  <c r="S173" i="4"/>
  <c r="R173" i="4"/>
  <c r="I173" i="4"/>
  <c r="K173" i="4" s="1"/>
  <c r="U172" i="4"/>
  <c r="T172" i="4"/>
  <c r="S172" i="4"/>
  <c r="R172" i="4" s="1"/>
  <c r="I172" i="4"/>
  <c r="K172" i="4" s="1"/>
  <c r="U171" i="4"/>
  <c r="T171" i="4"/>
  <c r="S171" i="4"/>
  <c r="R171" i="4"/>
  <c r="M171" i="4"/>
  <c r="K171" i="4"/>
  <c r="J171" i="4" s="1"/>
  <c r="I171" i="4"/>
  <c r="U170" i="4"/>
  <c r="T170" i="4"/>
  <c r="S170" i="4"/>
  <c r="R170" i="4"/>
  <c r="K170" i="4"/>
  <c r="J170" i="4" s="1"/>
  <c r="I170" i="4"/>
  <c r="U169" i="4"/>
  <c r="T169" i="4"/>
  <c r="S169" i="4"/>
  <c r="R169" i="4" s="1"/>
  <c r="I169" i="4"/>
  <c r="K169" i="4" s="1"/>
  <c r="U168" i="4"/>
  <c r="T168" i="4"/>
  <c r="S168" i="4"/>
  <c r="R168" i="4"/>
  <c r="M168" i="4"/>
  <c r="K168" i="4"/>
  <c r="J168" i="4" s="1"/>
  <c r="I168" i="4"/>
  <c r="U167" i="4"/>
  <c r="T167" i="4"/>
  <c r="S167" i="4"/>
  <c r="R167" i="4"/>
  <c r="I167" i="4"/>
  <c r="K167" i="4" s="1"/>
  <c r="U166" i="4"/>
  <c r="T166" i="4"/>
  <c r="S166" i="4"/>
  <c r="R166" i="4" s="1"/>
  <c r="I166" i="4"/>
  <c r="K166" i="4" s="1"/>
  <c r="L166" i="4" s="1"/>
  <c r="U165" i="4"/>
  <c r="T165" i="4"/>
  <c r="S165" i="4"/>
  <c r="R165" i="4"/>
  <c r="I165" i="4"/>
  <c r="K165" i="4" s="1"/>
  <c r="U164" i="4"/>
  <c r="T164" i="4"/>
  <c r="S164" i="4"/>
  <c r="R164" i="4"/>
  <c r="K164" i="4"/>
  <c r="M164" i="4" s="1"/>
  <c r="I164" i="4"/>
  <c r="U163" i="4"/>
  <c r="T163" i="4"/>
  <c r="S163" i="4"/>
  <c r="R163" i="4" s="1"/>
  <c r="I163" i="4"/>
  <c r="K163" i="4" s="1"/>
  <c r="U162" i="4"/>
  <c r="T162" i="4"/>
  <c r="S162" i="4"/>
  <c r="R162" i="4" s="1"/>
  <c r="M162" i="4"/>
  <c r="I162" i="4"/>
  <c r="K162" i="4" s="1"/>
  <c r="J162" i="4" s="1"/>
  <c r="U161" i="4"/>
  <c r="T161" i="4"/>
  <c r="S161" i="4"/>
  <c r="R161" i="4"/>
  <c r="K161" i="4"/>
  <c r="M161" i="4" s="1"/>
  <c r="J161" i="4"/>
  <c r="I161" i="4"/>
  <c r="U160" i="4"/>
  <c r="T160" i="4"/>
  <c r="S160" i="4"/>
  <c r="R160" i="4" s="1"/>
  <c r="I160" i="4"/>
  <c r="K160" i="4" s="1"/>
  <c r="U159" i="4"/>
  <c r="T159" i="4"/>
  <c r="S159" i="4"/>
  <c r="R159" i="4" s="1"/>
  <c r="I159" i="4"/>
  <c r="K159" i="4" s="1"/>
  <c r="U158" i="4"/>
  <c r="T158" i="4"/>
  <c r="S158" i="4"/>
  <c r="R158" i="4" s="1"/>
  <c r="I158" i="4"/>
  <c r="K158" i="4" s="1"/>
  <c r="U157" i="4"/>
  <c r="T157" i="4"/>
  <c r="S157" i="4"/>
  <c r="R157" i="4"/>
  <c r="K157" i="4"/>
  <c r="I157" i="4"/>
  <c r="U156" i="4"/>
  <c r="T156" i="4"/>
  <c r="S156" i="4"/>
  <c r="R156" i="4" s="1"/>
  <c r="I156" i="4"/>
  <c r="K156" i="4" s="1"/>
  <c r="U155" i="4"/>
  <c r="S155" i="4"/>
  <c r="R155" i="4"/>
  <c r="I155" i="4"/>
  <c r="K155" i="4" s="1"/>
  <c r="U154" i="4"/>
  <c r="T154" i="4"/>
  <c r="S154" i="4"/>
  <c r="R154" i="4"/>
  <c r="I154" i="4"/>
  <c r="K154" i="4" s="1"/>
  <c r="U153" i="4"/>
  <c r="T153" i="4"/>
  <c r="S153" i="4"/>
  <c r="R153" i="4"/>
  <c r="I153" i="4"/>
  <c r="K153" i="4" s="1"/>
  <c r="U152" i="4"/>
  <c r="T152" i="4"/>
  <c r="S152" i="4"/>
  <c r="R152" i="4"/>
  <c r="I152" i="4"/>
  <c r="K152" i="4" s="1"/>
  <c r="U151" i="4"/>
  <c r="S151" i="4"/>
  <c r="R151" i="4" s="1"/>
  <c r="K151" i="4"/>
  <c r="M151" i="4" s="1"/>
  <c r="I151" i="4"/>
  <c r="U150" i="4"/>
  <c r="T150" i="4"/>
  <c r="S150" i="4"/>
  <c r="R150" i="4" s="1"/>
  <c r="M150" i="4"/>
  <c r="K150" i="4"/>
  <c r="J150" i="4"/>
  <c r="I150" i="4"/>
  <c r="U149" i="4"/>
  <c r="T149" i="4"/>
  <c r="S149" i="4"/>
  <c r="R149" i="4" s="1"/>
  <c r="K149" i="4"/>
  <c r="M149" i="4" s="1"/>
  <c r="J149" i="4"/>
  <c r="I149" i="4"/>
  <c r="U148" i="4"/>
  <c r="T148" i="4"/>
  <c r="S148" i="4"/>
  <c r="R148" i="4" s="1"/>
  <c r="I148" i="4"/>
  <c r="K148" i="4" s="1"/>
  <c r="M148" i="4" s="1"/>
  <c r="U147" i="4"/>
  <c r="T147" i="4"/>
  <c r="S147" i="4"/>
  <c r="R147" i="4" s="1"/>
  <c r="M147" i="4"/>
  <c r="K147" i="4"/>
  <c r="J147" i="4"/>
  <c r="I147" i="4"/>
  <c r="U146" i="4"/>
  <c r="T146" i="4"/>
  <c r="S146" i="4"/>
  <c r="R146" i="4"/>
  <c r="L146" i="4"/>
  <c r="M146" i="4" s="1"/>
  <c r="K146" i="4"/>
  <c r="I146" i="4"/>
  <c r="U145" i="4"/>
  <c r="T145" i="4"/>
  <c r="S145" i="4"/>
  <c r="R145" i="4"/>
  <c r="I145" i="4"/>
  <c r="K145" i="4" s="1"/>
  <c r="L145" i="4" s="1"/>
  <c r="U144" i="4"/>
  <c r="T144" i="4"/>
  <c r="S144" i="4"/>
  <c r="R144" i="4" s="1"/>
  <c r="I144" i="4"/>
  <c r="K144" i="4" s="1"/>
  <c r="U143" i="4"/>
  <c r="T143" i="4"/>
  <c r="S143" i="4"/>
  <c r="R143" i="4"/>
  <c r="K143" i="4"/>
  <c r="I143" i="4"/>
  <c r="U142" i="4"/>
  <c r="T142" i="4"/>
  <c r="S142" i="4"/>
  <c r="R142" i="4"/>
  <c r="M142" i="4"/>
  <c r="K142" i="4"/>
  <c r="J142" i="4"/>
  <c r="I142" i="4"/>
  <c r="U141" i="4"/>
  <c r="T141" i="4"/>
  <c r="S141" i="4"/>
  <c r="R141" i="4" s="1"/>
  <c r="I141" i="4"/>
  <c r="K141" i="4" s="1"/>
  <c r="U140" i="4"/>
  <c r="T140" i="4"/>
  <c r="S140" i="4"/>
  <c r="R140" i="4" s="1"/>
  <c r="I140" i="4"/>
  <c r="K140" i="4" s="1"/>
  <c r="U139" i="4"/>
  <c r="T139" i="4"/>
  <c r="S139" i="4"/>
  <c r="R139" i="4"/>
  <c r="L139" i="4"/>
  <c r="J139" i="4" s="1"/>
  <c r="K139" i="4"/>
  <c r="I139" i="4"/>
  <c r="U138" i="4"/>
  <c r="T138" i="4"/>
  <c r="S138" i="4"/>
  <c r="R138" i="4"/>
  <c r="I138" i="4"/>
  <c r="K138" i="4" s="1"/>
  <c r="J138" i="4" s="1"/>
  <c r="U137" i="4"/>
  <c r="T137" i="4"/>
  <c r="S137" i="4"/>
  <c r="R137" i="4"/>
  <c r="I137" i="4"/>
  <c r="K137" i="4" s="1"/>
  <c r="U136" i="4"/>
  <c r="S136" i="4"/>
  <c r="R136" i="4"/>
  <c r="K136" i="4"/>
  <c r="M136" i="4" s="1"/>
  <c r="J136" i="4"/>
  <c r="I136" i="4"/>
  <c r="U135" i="4"/>
  <c r="S135" i="4"/>
  <c r="R135" i="4"/>
  <c r="I135" i="4"/>
  <c r="K135" i="4" s="1"/>
  <c r="M135" i="4" s="1"/>
  <c r="U134" i="4"/>
  <c r="T134" i="4"/>
  <c r="S134" i="4"/>
  <c r="R134" i="4"/>
  <c r="K134" i="4"/>
  <c r="I134" i="4"/>
  <c r="U133" i="4"/>
  <c r="S133" i="4"/>
  <c r="R133" i="4"/>
  <c r="M133" i="4"/>
  <c r="I133" i="4"/>
  <c r="K133" i="4" s="1"/>
  <c r="J133" i="4" s="1"/>
  <c r="U132" i="4"/>
  <c r="S132" i="4"/>
  <c r="R132" i="4"/>
  <c r="I132" i="4"/>
  <c r="K132" i="4" s="1"/>
  <c r="U131" i="4"/>
  <c r="T131" i="4"/>
  <c r="S131" i="4"/>
  <c r="R131" i="4"/>
  <c r="M131" i="4"/>
  <c r="I131" i="4"/>
  <c r="K131" i="4" s="1"/>
  <c r="J131" i="4" s="1"/>
  <c r="U130" i="4"/>
  <c r="S130" i="4"/>
  <c r="R130" i="4"/>
  <c r="I130" i="4"/>
  <c r="K130" i="4" s="1"/>
  <c r="U129" i="4"/>
  <c r="T129" i="4"/>
  <c r="S129" i="4"/>
  <c r="R129" i="4" s="1"/>
  <c r="M129" i="4"/>
  <c r="I129" i="4"/>
  <c r="K129" i="4" s="1"/>
  <c r="J129" i="4" s="1"/>
  <c r="U128" i="4"/>
  <c r="T128" i="4"/>
  <c r="S128" i="4"/>
  <c r="R128" i="4"/>
  <c r="K128" i="4"/>
  <c r="M128" i="4" s="1"/>
  <c r="J128" i="4"/>
  <c r="I128" i="4"/>
  <c r="U127" i="4"/>
  <c r="T127" i="4"/>
  <c r="S127" i="4"/>
  <c r="R127" i="4"/>
  <c r="K127" i="4"/>
  <c r="M127" i="4" s="1"/>
  <c r="J127" i="4"/>
  <c r="I127" i="4"/>
  <c r="U126" i="4"/>
  <c r="T126" i="4"/>
  <c r="S126" i="4"/>
  <c r="R126" i="4" s="1"/>
  <c r="I126" i="4"/>
  <c r="K126" i="4" s="1"/>
  <c r="U125" i="4"/>
  <c r="S125" i="4"/>
  <c r="R125" i="4"/>
  <c r="I125" i="4"/>
  <c r="K125" i="4" s="1"/>
  <c r="J125" i="4" s="1"/>
  <c r="U124" i="4"/>
  <c r="T124" i="4"/>
  <c r="S124" i="4"/>
  <c r="R124" i="4"/>
  <c r="I124" i="4"/>
  <c r="K124" i="4" s="1"/>
  <c r="J124" i="4" s="1"/>
  <c r="U123" i="4"/>
  <c r="T123" i="4"/>
  <c r="S123" i="4"/>
  <c r="R123" i="4"/>
  <c r="K123" i="4"/>
  <c r="M123" i="4" s="1"/>
  <c r="J123" i="4"/>
  <c r="I123" i="4"/>
  <c r="U122" i="4"/>
  <c r="T122" i="4"/>
  <c r="S122" i="4"/>
  <c r="R122" i="4"/>
  <c r="K122" i="4"/>
  <c r="M122" i="4" s="1"/>
  <c r="I122" i="4"/>
  <c r="U121" i="4"/>
  <c r="T121" i="4"/>
  <c r="S121" i="4"/>
  <c r="R121" i="4" s="1"/>
  <c r="I121" i="4"/>
  <c r="K121" i="4" s="1"/>
  <c r="U120" i="4"/>
  <c r="T120" i="4"/>
  <c r="S120" i="4"/>
  <c r="R120" i="4"/>
  <c r="K120" i="4"/>
  <c r="M120" i="4" s="1"/>
  <c r="I120" i="4"/>
  <c r="U119" i="4"/>
  <c r="T119" i="4"/>
  <c r="S119" i="4"/>
  <c r="R119" i="4"/>
  <c r="I119" i="4"/>
  <c r="K119" i="4" s="1"/>
  <c r="U118" i="4"/>
  <c r="T118" i="4"/>
  <c r="S118" i="4"/>
  <c r="R118" i="4" s="1"/>
  <c r="I118" i="4"/>
  <c r="K118" i="4" s="1"/>
  <c r="U117" i="4"/>
  <c r="T117" i="4"/>
  <c r="S117" i="4"/>
  <c r="R117" i="4" s="1"/>
  <c r="K117" i="4"/>
  <c r="M117" i="4" s="1"/>
  <c r="J117" i="4"/>
  <c r="I117" i="4"/>
  <c r="U116" i="4"/>
  <c r="T116" i="4"/>
  <c r="S116" i="4"/>
  <c r="R116" i="4"/>
  <c r="K116" i="4"/>
  <c r="M116" i="4" s="1"/>
  <c r="J116" i="4"/>
  <c r="I116" i="4"/>
  <c r="U115" i="4"/>
  <c r="T115" i="4"/>
  <c r="S115" i="4"/>
  <c r="R115" i="4" s="1"/>
  <c r="I115" i="4"/>
  <c r="K115" i="4" s="1"/>
  <c r="U114" i="4"/>
  <c r="T114" i="4"/>
  <c r="S114" i="4"/>
  <c r="R114" i="4"/>
  <c r="K114" i="4"/>
  <c r="M114" i="4" s="1"/>
  <c r="J114" i="4"/>
  <c r="I114" i="4"/>
  <c r="U113" i="4"/>
  <c r="T113" i="4"/>
  <c r="S113" i="4"/>
  <c r="R113" i="4"/>
  <c r="K113" i="4"/>
  <c r="I113" i="4"/>
  <c r="U112" i="4"/>
  <c r="T112" i="4"/>
  <c r="S112" i="4"/>
  <c r="R112" i="4"/>
  <c r="I112" i="4"/>
  <c r="K112" i="4" s="1"/>
  <c r="M112" i="4" s="1"/>
  <c r="U111" i="4"/>
  <c r="T111" i="4"/>
  <c r="S111" i="4"/>
  <c r="R111" i="4"/>
  <c r="M111" i="4"/>
  <c r="L111" i="4"/>
  <c r="I111" i="4"/>
  <c r="K111" i="4" s="1"/>
  <c r="J111" i="4" s="1"/>
  <c r="U110" i="4"/>
  <c r="T110" i="4"/>
  <c r="S110" i="4"/>
  <c r="R110" i="4"/>
  <c r="J110" i="4"/>
  <c r="I110" i="4"/>
  <c r="K110" i="4" s="1"/>
  <c r="M110" i="4" s="1"/>
  <c r="U109" i="4"/>
  <c r="S109" i="4"/>
  <c r="R109" i="4"/>
  <c r="I109" i="4"/>
  <c r="K109" i="4" s="1"/>
  <c r="M109" i="4" s="1"/>
  <c r="U108" i="4"/>
  <c r="S108" i="4"/>
  <c r="R108" i="4"/>
  <c r="K108" i="4"/>
  <c r="M108" i="4" s="1"/>
  <c r="J108" i="4"/>
  <c r="I108" i="4"/>
  <c r="U107" i="4"/>
  <c r="T107" i="4"/>
  <c r="S107" i="4"/>
  <c r="R107" i="4"/>
  <c r="I107" i="4"/>
  <c r="K107" i="4" s="1"/>
  <c r="U106" i="4"/>
  <c r="S106" i="4"/>
  <c r="R106" i="4"/>
  <c r="I106" i="4"/>
  <c r="K106" i="4" s="1"/>
  <c r="U105" i="4"/>
  <c r="T105" i="4"/>
  <c r="S105" i="4"/>
  <c r="R105" i="4"/>
  <c r="I105" i="4"/>
  <c r="K105" i="4" s="1"/>
  <c r="U104" i="4"/>
  <c r="T104" i="4"/>
  <c r="S104" i="4"/>
  <c r="R104" i="4"/>
  <c r="I104" i="4"/>
  <c r="K104" i="4" s="1"/>
  <c r="U103" i="4"/>
  <c r="S103" i="4"/>
  <c r="R103" i="4"/>
  <c r="I103" i="4"/>
  <c r="K103" i="4" s="1"/>
  <c r="L103" i="4" s="1"/>
  <c r="U102" i="4"/>
  <c r="T102" i="4"/>
  <c r="S102" i="4"/>
  <c r="R102" i="4"/>
  <c r="I102" i="4"/>
  <c r="K102" i="4" s="1"/>
  <c r="J102" i="4" s="1"/>
  <c r="U101" i="4"/>
  <c r="T101" i="4"/>
  <c r="S101" i="4"/>
  <c r="R101" i="4"/>
  <c r="K101" i="4"/>
  <c r="M101" i="4" s="1"/>
  <c r="I101" i="4"/>
  <c r="U100" i="4"/>
  <c r="T100" i="4"/>
  <c r="S100" i="4"/>
  <c r="R100" i="4"/>
  <c r="I100" i="4"/>
  <c r="K100" i="4" s="1"/>
  <c r="U99" i="4"/>
  <c r="T99" i="4"/>
  <c r="S99" i="4"/>
  <c r="R99" i="4"/>
  <c r="I99" i="4"/>
  <c r="K99" i="4" s="1"/>
  <c r="U98" i="4"/>
  <c r="T98" i="4"/>
  <c r="S98" i="4"/>
  <c r="R98" i="4"/>
  <c r="I98" i="4"/>
  <c r="K98" i="4" s="1"/>
  <c r="U97" i="4"/>
  <c r="T97" i="4"/>
  <c r="S97" i="4"/>
  <c r="R97" i="4" s="1"/>
  <c r="I97" i="4"/>
  <c r="K97" i="4" s="1"/>
  <c r="U96" i="4"/>
  <c r="T96" i="4"/>
  <c r="S96" i="4"/>
  <c r="R96" i="4"/>
  <c r="K96" i="4"/>
  <c r="M96" i="4" s="1"/>
  <c r="J96" i="4"/>
  <c r="I96" i="4"/>
  <c r="U95" i="4"/>
  <c r="T95" i="4"/>
  <c r="S95" i="4"/>
  <c r="R95" i="4"/>
  <c r="I95" i="4"/>
  <c r="K95" i="4" s="1"/>
  <c r="U94" i="4"/>
  <c r="T94" i="4"/>
  <c r="S94" i="4"/>
  <c r="R94" i="4" s="1"/>
  <c r="I94" i="4"/>
  <c r="K94" i="4" s="1"/>
  <c r="J94" i="4" s="1"/>
  <c r="U93" i="4"/>
  <c r="T93" i="4"/>
  <c r="S93" i="4"/>
  <c r="R93" i="4" s="1"/>
  <c r="L93" i="4"/>
  <c r="M93" i="4" s="1"/>
  <c r="K93" i="4"/>
  <c r="J93" i="4"/>
  <c r="I93" i="4"/>
  <c r="U92" i="4"/>
  <c r="T92" i="4"/>
  <c r="S92" i="4"/>
  <c r="R92" i="4"/>
  <c r="I92" i="4"/>
  <c r="K92" i="4" s="1"/>
  <c r="U91" i="4"/>
  <c r="T91" i="4"/>
  <c r="S91" i="4"/>
  <c r="R91" i="4"/>
  <c r="I91" i="4"/>
  <c r="K91" i="4" s="1"/>
  <c r="U90" i="4"/>
  <c r="T90" i="4"/>
  <c r="S90" i="4"/>
  <c r="R90" i="4"/>
  <c r="I90" i="4"/>
  <c r="K90" i="4" s="1"/>
  <c r="U89" i="4"/>
  <c r="T89" i="4"/>
  <c r="S89" i="4"/>
  <c r="R89" i="4"/>
  <c r="K89" i="4"/>
  <c r="J89" i="4" s="1"/>
  <c r="I89" i="4"/>
  <c r="U88" i="4"/>
  <c r="T88" i="4"/>
  <c r="S88" i="4"/>
  <c r="R88" i="4" s="1"/>
  <c r="J88" i="4"/>
  <c r="I88" i="4"/>
  <c r="K88" i="4" s="1"/>
  <c r="U87" i="4"/>
  <c r="T87" i="4"/>
  <c r="S87" i="4"/>
  <c r="R87" i="4"/>
  <c r="M87" i="4"/>
  <c r="K87" i="4"/>
  <c r="J87" i="4" s="1"/>
  <c r="I87" i="4"/>
  <c r="U86" i="4"/>
  <c r="T86" i="4"/>
  <c r="S86" i="4"/>
  <c r="R86" i="4"/>
  <c r="I86" i="4"/>
  <c r="K86" i="4" s="1"/>
  <c r="J86" i="4" s="1"/>
  <c r="U85" i="4"/>
  <c r="T85" i="4"/>
  <c r="S85" i="4"/>
  <c r="R85" i="4" s="1"/>
  <c r="I85" i="4"/>
  <c r="K85" i="4" s="1"/>
  <c r="J85" i="4" s="1"/>
  <c r="U84" i="4"/>
  <c r="T84" i="4"/>
  <c r="S84" i="4"/>
  <c r="R84" i="4"/>
  <c r="I84" i="4"/>
  <c r="K84" i="4" s="1"/>
  <c r="J84" i="4" s="1"/>
  <c r="U83" i="4"/>
  <c r="T83" i="4"/>
  <c r="S83" i="4"/>
  <c r="R83" i="4" s="1"/>
  <c r="I83" i="4"/>
  <c r="K83" i="4" s="1"/>
  <c r="J83" i="4" s="1"/>
  <c r="U82" i="4"/>
  <c r="T82" i="4"/>
  <c r="S82" i="4"/>
  <c r="R82" i="4"/>
  <c r="M82" i="4"/>
  <c r="K82" i="4"/>
  <c r="J82" i="4" s="1"/>
  <c r="I82" i="4"/>
  <c r="U81" i="4"/>
  <c r="T81" i="4"/>
  <c r="S81" i="4"/>
  <c r="R81" i="4"/>
  <c r="K81" i="4"/>
  <c r="M81" i="4" s="1"/>
  <c r="J81" i="4"/>
  <c r="I81" i="4"/>
  <c r="U80" i="4"/>
  <c r="T80" i="4"/>
  <c r="S80" i="4"/>
  <c r="R80" i="4"/>
  <c r="I80" i="4"/>
  <c r="K80" i="4" s="1"/>
  <c r="U79" i="4"/>
  <c r="T79" i="4"/>
  <c r="S79" i="4"/>
  <c r="R79" i="4"/>
  <c r="I79" i="4"/>
  <c r="K79" i="4" s="1"/>
  <c r="U78" i="4"/>
  <c r="T78" i="4"/>
  <c r="S78" i="4"/>
  <c r="R78" i="4"/>
  <c r="L78" i="4"/>
  <c r="K78" i="4"/>
  <c r="J78" i="4"/>
  <c r="I78" i="4"/>
  <c r="U77" i="4"/>
  <c r="T77" i="4"/>
  <c r="S77" i="4"/>
  <c r="R77" i="4"/>
  <c r="I77" i="4"/>
  <c r="K77" i="4" s="1"/>
  <c r="U76" i="4"/>
  <c r="T76" i="4"/>
  <c r="S76" i="4"/>
  <c r="R76" i="4"/>
  <c r="I76" i="4"/>
  <c r="K76" i="4" s="1"/>
  <c r="M76" i="4" s="1"/>
  <c r="U75" i="4"/>
  <c r="T75" i="4"/>
  <c r="S75" i="4"/>
  <c r="R75" i="4"/>
  <c r="K75" i="4"/>
  <c r="I75" i="4"/>
  <c r="U74" i="4"/>
  <c r="T74" i="4"/>
  <c r="S74" i="4"/>
  <c r="R74" i="4" s="1"/>
  <c r="I74" i="4"/>
  <c r="K74" i="4" s="1"/>
  <c r="U73" i="4"/>
  <c r="T73" i="4"/>
  <c r="S73" i="4"/>
  <c r="R73" i="4" s="1"/>
  <c r="I73" i="4"/>
  <c r="K73" i="4" s="1"/>
  <c r="U72" i="4"/>
  <c r="S72" i="4"/>
  <c r="R72" i="4"/>
  <c r="I72" i="4"/>
  <c r="K72" i="4" s="1"/>
  <c r="L72" i="4" s="1"/>
  <c r="U71" i="4"/>
  <c r="S71" i="4"/>
  <c r="R71" i="4"/>
  <c r="K71" i="4"/>
  <c r="I71" i="4"/>
  <c r="U70" i="4"/>
  <c r="S70" i="4"/>
  <c r="R70" i="4" s="1"/>
  <c r="K70" i="4"/>
  <c r="M70" i="4" s="1"/>
  <c r="I70" i="4"/>
  <c r="U69" i="4"/>
  <c r="S69" i="4"/>
  <c r="R69" i="4"/>
  <c r="K69" i="4"/>
  <c r="L69" i="4" s="1"/>
  <c r="I69" i="4"/>
  <c r="U68" i="4"/>
  <c r="T68" i="4"/>
  <c r="S68" i="4"/>
  <c r="R68" i="4"/>
  <c r="I68" i="4"/>
  <c r="K68" i="4" s="1"/>
  <c r="M68" i="4" s="1"/>
  <c r="U67" i="4"/>
  <c r="T67" i="4"/>
  <c r="S67" i="4"/>
  <c r="R67" i="4"/>
  <c r="M67" i="4"/>
  <c r="K67" i="4"/>
  <c r="J67" i="4" s="1"/>
  <c r="I67" i="4"/>
  <c r="U66" i="4"/>
  <c r="T66" i="4"/>
  <c r="S66" i="4"/>
  <c r="R66" i="4"/>
  <c r="K66" i="4"/>
  <c r="M66" i="4" s="1"/>
  <c r="J66" i="4"/>
  <c r="I66" i="4"/>
  <c r="U65" i="4"/>
  <c r="T65" i="4"/>
  <c r="S65" i="4"/>
  <c r="R65" i="4"/>
  <c r="J65" i="4"/>
  <c r="I65" i="4"/>
  <c r="K65" i="4" s="1"/>
  <c r="M65" i="4" s="1"/>
  <c r="U64" i="4"/>
  <c r="T64" i="4"/>
  <c r="S64" i="4"/>
  <c r="R64" i="4"/>
  <c r="M64" i="4"/>
  <c r="K64" i="4"/>
  <c r="J64" i="4" s="1"/>
  <c r="I64" i="4"/>
  <c r="U63" i="4"/>
  <c r="T63" i="4"/>
  <c r="S63" i="4"/>
  <c r="R63" i="4"/>
  <c r="I63" i="4"/>
  <c r="K63" i="4" s="1"/>
  <c r="U62" i="4"/>
  <c r="T62" i="4"/>
  <c r="S62" i="4"/>
  <c r="R62" i="4"/>
  <c r="J62" i="4"/>
  <c r="I62" i="4"/>
  <c r="K62" i="4" s="1"/>
  <c r="M62" i="4" s="1"/>
  <c r="U61" i="4"/>
  <c r="T61" i="4"/>
  <c r="S61" i="4"/>
  <c r="R61" i="4"/>
  <c r="K61" i="4"/>
  <c r="J61" i="4" s="1"/>
  <c r="I61" i="4"/>
  <c r="U60" i="4"/>
  <c r="T60" i="4"/>
  <c r="S60" i="4"/>
  <c r="R60" i="4"/>
  <c r="I60" i="4"/>
  <c r="K60" i="4" s="1"/>
  <c r="U59" i="4"/>
  <c r="T59" i="4"/>
  <c r="S59" i="4"/>
  <c r="R59" i="4" s="1"/>
  <c r="I59" i="4"/>
  <c r="K59" i="4" s="1"/>
  <c r="U58" i="4"/>
  <c r="T58" i="4"/>
  <c r="S58" i="4"/>
  <c r="R58" i="4" s="1"/>
  <c r="I58" i="4"/>
  <c r="K58" i="4" s="1"/>
  <c r="U57" i="4"/>
  <c r="T57" i="4"/>
  <c r="S57" i="4"/>
  <c r="R57" i="4"/>
  <c r="K57" i="4"/>
  <c r="L57" i="4" s="1"/>
  <c r="M57" i="4" s="1"/>
  <c r="I57" i="4"/>
  <c r="U56" i="4"/>
  <c r="T56" i="4"/>
  <c r="S56" i="4"/>
  <c r="R56" i="4"/>
  <c r="K56" i="4"/>
  <c r="I56" i="4"/>
  <c r="U55" i="4"/>
  <c r="T55" i="4"/>
  <c r="S55" i="4"/>
  <c r="R55" i="4"/>
  <c r="I55" i="4"/>
  <c r="K55" i="4" s="1"/>
  <c r="U54" i="4"/>
  <c r="T54" i="4"/>
  <c r="S54" i="4"/>
  <c r="R54" i="4"/>
  <c r="I54" i="4"/>
  <c r="K54" i="4" s="1"/>
  <c r="U53" i="4"/>
  <c r="T53" i="4"/>
  <c r="S53" i="4"/>
  <c r="R53" i="4"/>
  <c r="I53" i="4"/>
  <c r="K53" i="4" s="1"/>
  <c r="U52" i="4"/>
  <c r="T52" i="4"/>
  <c r="S52" i="4"/>
  <c r="R52" i="4"/>
  <c r="I52" i="4"/>
  <c r="K52" i="4" s="1"/>
  <c r="J52" i="4" s="1"/>
  <c r="U51" i="4"/>
  <c r="T51" i="4"/>
  <c r="S51" i="4"/>
  <c r="R51" i="4"/>
  <c r="I51" i="4"/>
  <c r="K51" i="4" s="1"/>
  <c r="U50" i="4"/>
  <c r="T50" i="4"/>
  <c r="S50" i="4"/>
  <c r="R50" i="4"/>
  <c r="K50" i="4"/>
  <c r="I50" i="4"/>
  <c r="U49" i="4"/>
  <c r="S49" i="4"/>
  <c r="R49" i="4"/>
  <c r="I49" i="4"/>
  <c r="K49" i="4" s="1"/>
  <c r="U48" i="4"/>
  <c r="S48" i="4"/>
  <c r="R48" i="4"/>
  <c r="I48" i="4"/>
  <c r="K48" i="4" s="1"/>
  <c r="M48" i="4" s="1"/>
  <c r="U47" i="4"/>
  <c r="S47" i="4"/>
  <c r="R47" i="4"/>
  <c r="I47" i="4"/>
  <c r="K47" i="4" s="1"/>
  <c r="L47" i="4" s="1"/>
  <c r="U46" i="4"/>
  <c r="S46" i="4"/>
  <c r="R46" i="4" s="1"/>
  <c r="I46" i="4"/>
  <c r="K46" i="4" s="1"/>
  <c r="U45" i="4"/>
  <c r="T45" i="4"/>
  <c r="S45" i="4"/>
  <c r="R45" i="4"/>
  <c r="K45" i="4"/>
  <c r="I45" i="4"/>
  <c r="U44" i="4"/>
  <c r="T44" i="4"/>
  <c r="S44" i="4"/>
  <c r="R44" i="4" s="1"/>
  <c r="I44" i="4"/>
  <c r="K44" i="4" s="1"/>
  <c r="U43" i="4"/>
  <c r="T43" i="4"/>
  <c r="S43" i="4"/>
  <c r="R43" i="4"/>
  <c r="I43" i="4"/>
  <c r="K43" i="4" s="1"/>
  <c r="M43" i="4" s="1"/>
  <c r="U42" i="4"/>
  <c r="T42" i="4"/>
  <c r="S42" i="4"/>
  <c r="R42" i="4"/>
  <c r="K42" i="4"/>
  <c r="J42" i="4" s="1"/>
  <c r="I42" i="4"/>
  <c r="U41" i="4"/>
  <c r="S41" i="4"/>
  <c r="R41" i="4"/>
  <c r="I41" i="4"/>
  <c r="K41" i="4" s="1"/>
  <c r="J41" i="4" s="1"/>
  <c r="U40" i="4"/>
  <c r="S40" i="4"/>
  <c r="R40" i="4"/>
  <c r="K40" i="4"/>
  <c r="J40" i="4" s="1"/>
  <c r="I40" i="4"/>
  <c r="U39" i="4"/>
  <c r="S39" i="4"/>
  <c r="R39" i="4"/>
  <c r="I39" i="4"/>
  <c r="K39" i="4" s="1"/>
  <c r="J39" i="4" s="1"/>
  <c r="U38" i="4"/>
  <c r="T38" i="4"/>
  <c r="S38" i="4"/>
  <c r="R38" i="4"/>
  <c r="I38" i="4"/>
  <c r="K38" i="4" s="1"/>
  <c r="U37" i="4"/>
  <c r="S37" i="4"/>
  <c r="R37" i="4"/>
  <c r="I37" i="4"/>
  <c r="K37" i="4" s="1"/>
  <c r="J37" i="4" s="1"/>
  <c r="U36" i="4"/>
  <c r="T36" i="4"/>
  <c r="S36" i="4"/>
  <c r="R36" i="4"/>
  <c r="J36" i="4"/>
  <c r="I36" i="4"/>
  <c r="K36" i="4" s="1"/>
  <c r="M36" i="4" s="1"/>
  <c r="U35" i="4"/>
  <c r="S35" i="4"/>
  <c r="R35" i="4"/>
  <c r="K35" i="4"/>
  <c r="M35" i="4" s="1"/>
  <c r="J35" i="4"/>
  <c r="I35" i="4"/>
  <c r="U34" i="4"/>
  <c r="T34" i="4"/>
  <c r="S34" i="4"/>
  <c r="R34" i="4"/>
  <c r="I34" i="4"/>
  <c r="K34" i="4" s="1"/>
  <c r="U33" i="4"/>
  <c r="T33" i="4"/>
  <c r="S33" i="4"/>
  <c r="R33" i="4"/>
  <c r="I33" i="4"/>
  <c r="K33" i="4" s="1"/>
  <c r="M33" i="4" s="1"/>
  <c r="U32" i="4"/>
  <c r="T32" i="4"/>
  <c r="S32" i="4"/>
  <c r="R32" i="4"/>
  <c r="I32" i="4"/>
  <c r="K32" i="4" s="1"/>
  <c r="U31" i="4"/>
  <c r="T31" i="4"/>
  <c r="S31" i="4"/>
  <c r="R31" i="4" s="1"/>
  <c r="I31" i="4"/>
  <c r="K31" i="4" s="1"/>
  <c r="U30" i="4"/>
  <c r="T30" i="4"/>
  <c r="S30" i="4"/>
  <c r="R30" i="4"/>
  <c r="K30" i="4"/>
  <c r="J30" i="4" s="1"/>
  <c r="I30" i="4"/>
  <c r="U29" i="4"/>
  <c r="T29" i="4"/>
  <c r="S29" i="4"/>
  <c r="R29" i="4"/>
  <c r="I29" i="4"/>
  <c r="K29" i="4" s="1"/>
  <c r="U28" i="4"/>
  <c r="T28" i="4"/>
  <c r="S28" i="4"/>
  <c r="R28" i="4"/>
  <c r="I28" i="4"/>
  <c r="K28" i="4" s="1"/>
  <c r="J28" i="4" s="1"/>
  <c r="U27" i="4"/>
  <c r="T27" i="4"/>
  <c r="S27" i="4"/>
  <c r="R27" i="4"/>
  <c r="I27" i="4"/>
  <c r="K27" i="4" s="1"/>
  <c r="U26" i="4"/>
  <c r="T26" i="4"/>
  <c r="S26" i="4"/>
  <c r="R26" i="4" s="1"/>
  <c r="I26" i="4"/>
  <c r="K26" i="4" s="1"/>
  <c r="L26" i="4" s="1"/>
  <c r="M26" i="4" s="1"/>
  <c r="U25" i="4"/>
  <c r="T25" i="4"/>
  <c r="S25" i="4"/>
  <c r="R25" i="4" s="1"/>
  <c r="I25" i="4"/>
  <c r="K25" i="4" s="1"/>
  <c r="U24" i="4"/>
  <c r="T24" i="4"/>
  <c r="S24" i="4"/>
  <c r="R24" i="4" s="1"/>
  <c r="I24" i="4"/>
  <c r="K24" i="4" s="1"/>
  <c r="U23" i="4"/>
  <c r="T23" i="4"/>
  <c r="S23" i="4"/>
  <c r="R23" i="4"/>
  <c r="I23" i="4"/>
  <c r="K23" i="4" s="1"/>
  <c r="U22" i="4"/>
  <c r="T22" i="4"/>
  <c r="S22" i="4"/>
  <c r="R22" i="4"/>
  <c r="I22" i="4"/>
  <c r="K22" i="4" s="1"/>
  <c r="U21" i="4"/>
  <c r="T21" i="4"/>
  <c r="S21" i="4"/>
  <c r="R21" i="4" s="1"/>
  <c r="L21" i="4"/>
  <c r="M21" i="4" s="1"/>
  <c r="K21" i="4"/>
  <c r="J21" i="4"/>
  <c r="I21" i="4"/>
  <c r="U20" i="4"/>
  <c r="T20" i="4"/>
  <c r="S20" i="4"/>
  <c r="R20" i="4"/>
  <c r="I20" i="4"/>
  <c r="K20" i="4" s="1"/>
  <c r="U19" i="4"/>
  <c r="T19" i="4"/>
  <c r="S19" i="4"/>
  <c r="R19" i="4"/>
  <c r="I19" i="4"/>
  <c r="K19" i="4" s="1"/>
  <c r="U18" i="4"/>
  <c r="T18" i="4"/>
  <c r="S18" i="4"/>
  <c r="R18" i="4"/>
  <c r="M18" i="4"/>
  <c r="K18" i="4"/>
  <c r="J18" i="4" s="1"/>
  <c r="I18" i="4"/>
  <c r="U17" i="4"/>
  <c r="T17" i="4"/>
  <c r="S17" i="4"/>
  <c r="R17" i="4"/>
  <c r="K17" i="4"/>
  <c r="M17" i="4" s="1"/>
  <c r="J17" i="4"/>
  <c r="I17" i="4"/>
  <c r="U16" i="4"/>
  <c r="T16" i="4"/>
  <c r="S16" i="4"/>
  <c r="R16" i="4"/>
  <c r="I16" i="4"/>
  <c r="K16" i="4" s="1"/>
  <c r="U15" i="4"/>
  <c r="T15" i="4"/>
  <c r="S15" i="4"/>
  <c r="R15" i="4"/>
  <c r="K15" i="4"/>
  <c r="J15" i="4" s="1"/>
  <c r="I15" i="4"/>
  <c r="U14" i="4"/>
  <c r="T14" i="4"/>
  <c r="S14" i="4"/>
  <c r="R14" i="4"/>
  <c r="I14" i="4"/>
  <c r="K14" i="4" s="1"/>
  <c r="U13" i="4"/>
  <c r="T13" i="4"/>
  <c r="S13" i="4"/>
  <c r="R13" i="4"/>
  <c r="I13" i="4"/>
  <c r="K13" i="4" s="1"/>
  <c r="U12" i="4"/>
  <c r="T12" i="4"/>
  <c r="S12" i="4"/>
  <c r="R12" i="4"/>
  <c r="I12" i="4"/>
  <c r="K12" i="4" s="1"/>
  <c r="J12" i="4" s="1"/>
  <c r="U11" i="4"/>
  <c r="T11" i="4"/>
  <c r="S11" i="4"/>
  <c r="R11" i="4"/>
  <c r="I11" i="4"/>
  <c r="K11" i="4" s="1"/>
  <c r="U10" i="4"/>
  <c r="T10" i="4"/>
  <c r="S10" i="4"/>
  <c r="R10" i="4"/>
  <c r="I10" i="4"/>
  <c r="K10" i="4" s="1"/>
  <c r="U9" i="4"/>
  <c r="T9" i="4"/>
  <c r="S9" i="4"/>
  <c r="R9" i="4"/>
  <c r="I9" i="4"/>
  <c r="K9" i="4" s="1"/>
  <c r="J9" i="4" s="1"/>
  <c r="U8" i="4"/>
  <c r="T8" i="4"/>
  <c r="S8" i="4"/>
  <c r="R8" i="4" s="1"/>
  <c r="I8" i="4"/>
  <c r="K8" i="4" s="1"/>
  <c r="U7" i="4"/>
  <c r="T7" i="4"/>
  <c r="S7" i="4"/>
  <c r="R7" i="4"/>
  <c r="K7" i="4"/>
  <c r="M7" i="4" s="1"/>
  <c r="J7" i="4"/>
  <c r="I7" i="4"/>
  <c r="U6" i="4"/>
  <c r="T6" i="4"/>
  <c r="S6" i="4"/>
  <c r="R6" i="4"/>
  <c r="I6" i="4"/>
  <c r="K6" i="4" s="1"/>
  <c r="J6" i="4" s="1"/>
  <c r="U5" i="4"/>
  <c r="T5" i="4"/>
  <c r="S5" i="4"/>
  <c r="R5" i="4"/>
  <c r="I5" i="4"/>
  <c r="K5" i="4" s="1"/>
  <c r="U4" i="4"/>
  <c r="T4" i="4"/>
  <c r="S4" i="4"/>
  <c r="R4" i="4"/>
  <c r="K4" i="4"/>
  <c r="J4" i="4" s="1"/>
  <c r="I4" i="4"/>
  <c r="U3" i="4"/>
  <c r="T3" i="4"/>
  <c r="S3" i="4"/>
  <c r="R3" i="4"/>
  <c r="I3" i="4"/>
  <c r="K3" i="4" s="1"/>
  <c r="U2" i="4"/>
  <c r="T2" i="4"/>
  <c r="S2" i="4"/>
  <c r="R2" i="4"/>
  <c r="K2" i="4"/>
  <c r="M2" i="4" s="1"/>
  <c r="J2" i="4"/>
  <c r="I2" i="4"/>
  <c r="M9" i="7" l="1"/>
  <c r="J9" i="7"/>
  <c r="M12" i="7"/>
  <c r="J12" i="7"/>
  <c r="M21" i="7"/>
  <c r="J21" i="7"/>
  <c r="M16" i="7"/>
  <c r="J16" i="7"/>
  <c r="L15" i="7"/>
  <c r="J4" i="7"/>
  <c r="M4" i="7"/>
  <c r="L7" i="7"/>
  <c r="M8" i="7"/>
  <c r="J8" i="7"/>
  <c r="J11" i="7"/>
  <c r="M11" i="7"/>
  <c r="M5" i="7"/>
  <c r="J5" i="7"/>
  <c r="L6" i="7"/>
  <c r="M6" i="7" s="1"/>
  <c r="L13" i="7"/>
  <c r="M13" i="7" s="1"/>
  <c r="M20" i="7"/>
  <c r="J3" i="7"/>
  <c r="J17" i="7"/>
  <c r="J10" i="7"/>
  <c r="J19" i="7"/>
  <c r="M141" i="4"/>
  <c r="J141" i="4"/>
  <c r="M19" i="4"/>
  <c r="J19" i="4"/>
  <c r="J155" i="4"/>
  <c r="M155" i="4"/>
  <c r="M47" i="4"/>
  <c r="L49" i="4"/>
  <c r="M49" i="4" s="1"/>
  <c r="L14" i="4"/>
  <c r="M73" i="4"/>
  <c r="J73" i="4"/>
  <c r="J173" i="4"/>
  <c r="M173" i="4"/>
  <c r="J167" i="4"/>
  <c r="M167" i="4"/>
  <c r="M11" i="4"/>
  <c r="J11" i="4"/>
  <c r="L27" i="4"/>
  <c r="J27" i="4"/>
  <c r="M69" i="4"/>
  <c r="L71" i="4"/>
  <c r="M71" i="4" s="1"/>
  <c r="M99" i="4"/>
  <c r="J99" i="4"/>
  <c r="M13" i="4"/>
  <c r="J13" i="4"/>
  <c r="M24" i="4"/>
  <c r="J24" i="4"/>
  <c r="L45" i="4"/>
  <c r="J45" i="4" s="1"/>
  <c r="J104" i="4"/>
  <c r="J152" i="4"/>
  <c r="M152" i="4"/>
  <c r="M28" i="4"/>
  <c r="M30" i="4"/>
  <c r="L98" i="4"/>
  <c r="J98" i="4"/>
  <c r="L104" i="4"/>
  <c r="M104" i="4" s="1"/>
  <c r="J148" i="4"/>
  <c r="J159" i="4"/>
  <c r="M159" i="4"/>
  <c r="J157" i="4"/>
  <c r="M102" i="4"/>
  <c r="L144" i="4"/>
  <c r="M144" i="4" s="1"/>
  <c r="M145" i="4"/>
  <c r="L157" i="4"/>
  <c r="J145" i="4"/>
  <c r="M160" i="4"/>
  <c r="J160" i="4"/>
  <c r="J53" i="4"/>
  <c r="M53" i="4"/>
  <c r="L80" i="4"/>
  <c r="J80" i="4"/>
  <c r="M130" i="4"/>
  <c r="J130" i="4"/>
  <c r="M139" i="4"/>
  <c r="J10" i="4"/>
  <c r="M10" i="4"/>
  <c r="M23" i="4"/>
  <c r="J23" i="4"/>
  <c r="M44" i="4"/>
  <c r="J44" i="4"/>
  <c r="L51" i="4"/>
  <c r="J51" i="4"/>
  <c r="M105" i="4"/>
  <c r="J105" i="4"/>
  <c r="L126" i="4"/>
  <c r="M126" i="4" s="1"/>
  <c r="L22" i="4"/>
  <c r="M22" i="4" s="1"/>
  <c r="J22" i="4"/>
  <c r="M52" i="4"/>
  <c r="M5" i="4"/>
  <c r="J5" i="4"/>
  <c r="J92" i="4"/>
  <c r="L55" i="4"/>
  <c r="J55" i="4"/>
  <c r="J57" i="4"/>
  <c r="M78" i="4"/>
  <c r="J101" i="4"/>
  <c r="J120" i="4"/>
  <c r="J122" i="4"/>
  <c r="J151" i="4"/>
  <c r="L74" i="4"/>
  <c r="M74" i="4" s="1"/>
  <c r="M72" i="4"/>
  <c r="J75" i="4"/>
  <c r="M75" i="4"/>
  <c r="M6" i="4"/>
  <c r="J74" i="4"/>
  <c r="M95" i="4"/>
  <c r="J95" i="4"/>
  <c r="M163" i="4"/>
  <c r="J163" i="4"/>
  <c r="M54" i="4"/>
  <c r="J54" i="4"/>
  <c r="L60" i="4"/>
  <c r="M60" i="4" s="1"/>
  <c r="J60" i="4"/>
  <c r="M9" i="4"/>
  <c r="J43" i="4"/>
  <c r="J119" i="4"/>
  <c r="M119" i="4"/>
  <c r="J3" i="4"/>
  <c r="M3" i="4"/>
  <c r="M63" i="4"/>
  <c r="J63" i="4"/>
  <c r="L92" i="4"/>
  <c r="M107" i="4"/>
  <c r="J107" i="4"/>
  <c r="L31" i="4"/>
  <c r="J31" i="4" s="1"/>
  <c r="M16" i="4"/>
  <c r="J16" i="4"/>
  <c r="J8" i="4"/>
  <c r="M8" i="4"/>
  <c r="L34" i="4"/>
  <c r="M34" i="4" s="1"/>
  <c r="M4" i="4"/>
  <c r="M118" i="4"/>
  <c r="J118" i="4"/>
  <c r="J146" i="4"/>
  <c r="M154" i="4"/>
  <c r="J154" i="4"/>
  <c r="M175" i="4"/>
  <c r="J175" i="4"/>
  <c r="J112" i="4"/>
  <c r="L140" i="4"/>
  <c r="J140" i="4" s="1"/>
  <c r="M178" i="4"/>
  <c r="J178" i="4"/>
  <c r="J26" i="4"/>
  <c r="M38" i="4"/>
  <c r="J38" i="4"/>
  <c r="M42" i="4"/>
  <c r="L90" i="4"/>
  <c r="M90" i="4" s="1"/>
  <c r="J90" i="4"/>
  <c r="M100" i="4"/>
  <c r="J100" i="4"/>
  <c r="M121" i="4"/>
  <c r="J121" i="4"/>
  <c r="M61" i="4"/>
  <c r="M156" i="4"/>
  <c r="J156" i="4"/>
  <c r="L165" i="4"/>
  <c r="M165" i="4" s="1"/>
  <c r="M166" i="4"/>
  <c r="M176" i="4"/>
  <c r="J176" i="4"/>
  <c r="M103" i="4"/>
  <c r="L106" i="4"/>
  <c r="M106" i="4" s="1"/>
  <c r="J109" i="4"/>
  <c r="M137" i="4"/>
  <c r="J137" i="4"/>
  <c r="J164" i="4"/>
  <c r="J166" i="4"/>
  <c r="M170" i="4"/>
  <c r="M172" i="4"/>
  <c r="J172" i="4"/>
  <c r="M115" i="4"/>
  <c r="J115" i="4"/>
  <c r="M169" i="4"/>
  <c r="J169" i="4"/>
  <c r="M29" i="4"/>
  <c r="J29" i="4"/>
  <c r="M132" i="4"/>
  <c r="J132" i="4"/>
  <c r="M134" i="4"/>
  <c r="J134" i="4"/>
  <c r="J68" i="4"/>
  <c r="L58" i="4"/>
  <c r="J58" i="4"/>
  <c r="M12" i="4"/>
  <c r="M15" i="4"/>
  <c r="J33" i="4"/>
  <c r="J76" i="4"/>
  <c r="M97" i="4"/>
  <c r="J97" i="4"/>
  <c r="J135" i="4"/>
  <c r="M153" i="4"/>
  <c r="J153" i="4"/>
  <c r="M177" i="4"/>
  <c r="M15" i="7" l="1"/>
  <c r="J15" i="7"/>
  <c r="J13" i="7"/>
  <c r="J6" i="7"/>
  <c r="M7" i="7"/>
  <c r="J7" i="7"/>
  <c r="M14" i="4"/>
  <c r="L20" i="4"/>
  <c r="J14" i="4"/>
  <c r="L25" i="4"/>
  <c r="M27" i="4"/>
  <c r="L79" i="4"/>
  <c r="M80" i="4"/>
  <c r="M51" i="4"/>
  <c r="L50" i="4"/>
  <c r="L91" i="4"/>
  <c r="M92" i="4"/>
  <c r="J34" i="4"/>
  <c r="M98" i="4"/>
  <c r="L113" i="4"/>
  <c r="J144" i="4"/>
  <c r="M31" i="4"/>
  <c r="L32" i="4"/>
  <c r="L46" i="4"/>
  <c r="M46" i="4" s="1"/>
  <c r="M45" i="4"/>
  <c r="M58" i="4"/>
  <c r="L59" i="4"/>
  <c r="L77" i="4"/>
  <c r="M55" i="4"/>
  <c r="L56" i="4"/>
  <c r="L143" i="4"/>
  <c r="M140" i="4"/>
  <c r="L158" i="4"/>
  <c r="M157" i="4"/>
  <c r="J165" i="4"/>
  <c r="J126" i="4"/>
  <c r="M50" i="4" l="1"/>
  <c r="J50" i="4"/>
  <c r="M91" i="4"/>
  <c r="J91" i="4"/>
  <c r="M56" i="4"/>
  <c r="J56" i="4"/>
  <c r="M77" i="4"/>
  <c r="J77" i="4"/>
  <c r="M59" i="4"/>
  <c r="J59" i="4"/>
  <c r="M79" i="4"/>
  <c r="J79" i="4"/>
  <c r="M32" i="4"/>
  <c r="J32" i="4"/>
  <c r="M25" i="4"/>
  <c r="J25" i="4"/>
  <c r="M158" i="4"/>
  <c r="J158" i="4"/>
  <c r="J113" i="4"/>
  <c r="M113" i="4"/>
  <c r="M20" i="4"/>
  <c r="J20" i="4"/>
  <c r="M143" i="4"/>
  <c r="J143" i="4"/>
  <c r="GH9" i="2" l="1"/>
  <c r="GG9" i="2" l="1"/>
  <c r="GF9" i="2"/>
  <c r="GC9" i="2" l="1"/>
  <c r="GB9" i="2"/>
  <c r="GB4" i="2"/>
  <c r="GA9" i="2" l="1"/>
  <c r="FZ9" i="2" l="1"/>
  <c r="FZ4" i="2"/>
  <c r="FY9" i="2"/>
  <c r="CM19" i="2" l="1"/>
  <c r="BG20" i="2"/>
  <c r="FV9" i="2" l="1"/>
  <c r="FU9" i="2" l="1"/>
  <c r="FT9" i="2" l="1"/>
  <c r="FS9" i="2" l="1"/>
  <c r="I91" i="10"/>
  <c r="FR9" i="2" l="1"/>
  <c r="GK2" i="2" l="1"/>
  <c r="GL2" i="2"/>
  <c r="GM2" i="2"/>
  <c r="GW2" i="2"/>
  <c r="GX2" i="2"/>
  <c r="GY2" i="2"/>
  <c r="FW15" i="2"/>
  <c r="FW2" i="2" s="1"/>
  <c r="FX15" i="2"/>
  <c r="FX2" i="2" s="1"/>
  <c r="FY15" i="2"/>
  <c r="FY2" i="2" s="1"/>
  <c r="FZ15" i="2"/>
  <c r="FZ2" i="2" s="1"/>
  <c r="GA15" i="2"/>
  <c r="GA2" i="2" s="1"/>
  <c r="GB15" i="2"/>
  <c r="GB2" i="2" s="1"/>
  <c r="GC15" i="2"/>
  <c r="GC2" i="2" s="1"/>
  <c r="GD15" i="2"/>
  <c r="GD2" i="2" s="1"/>
  <c r="GE15" i="2"/>
  <c r="GE2" i="2" s="1"/>
  <c r="GF15" i="2"/>
  <c r="GF2" i="2" s="1"/>
  <c r="GG15" i="2"/>
  <c r="GG2" i="2" s="1"/>
  <c r="GH15" i="2"/>
  <c r="GH2" i="2" s="1"/>
  <c r="GI15" i="2"/>
  <c r="GI2" i="2" s="1"/>
  <c r="GJ15" i="2"/>
  <c r="GJ2" i="2" s="1"/>
  <c r="GK15" i="2"/>
  <c r="GL15" i="2"/>
  <c r="GM15" i="2"/>
  <c r="GN15" i="2"/>
  <c r="GN2" i="2" s="1"/>
  <c r="GO15" i="2"/>
  <c r="GO2" i="2" s="1"/>
  <c r="GP15" i="2"/>
  <c r="GP2" i="2" s="1"/>
  <c r="GQ15" i="2"/>
  <c r="GQ2" i="2" s="1"/>
  <c r="GR15" i="2"/>
  <c r="GR2" i="2" s="1"/>
  <c r="GS15" i="2"/>
  <c r="GS2" i="2" s="1"/>
  <c r="GT15" i="2"/>
  <c r="GT2" i="2" s="1"/>
  <c r="GU15" i="2"/>
  <c r="GU2" i="2" s="1"/>
  <c r="GV15" i="2"/>
  <c r="GV2" i="2" s="1"/>
  <c r="GW15" i="2"/>
  <c r="GX15" i="2"/>
  <c r="GY15" i="2"/>
  <c r="GZ15" i="2"/>
  <c r="GZ2" i="2" s="1"/>
  <c r="HA15" i="2"/>
  <c r="HA2" i="2" s="1"/>
  <c r="HB15" i="2"/>
  <c r="HB2" i="2" s="1"/>
  <c r="HC15" i="2"/>
  <c r="HC2" i="2" s="1"/>
  <c r="HD15" i="2"/>
  <c r="HD2" i="2" s="1"/>
  <c r="HE15" i="2"/>
  <c r="HE2" i="2" s="1"/>
  <c r="HF15" i="2"/>
  <c r="HF2" i="2" s="1"/>
  <c r="HG15" i="2"/>
  <c r="HG2" i="2" s="1"/>
  <c r="HH15" i="2"/>
  <c r="HH2" i="2" s="1"/>
  <c r="G326" i="10"/>
  <c r="G325" i="10"/>
  <c r="G317" i="10"/>
  <c r="P308" i="10"/>
  <c r="O308" i="10"/>
  <c r="N308" i="10"/>
  <c r="M308" i="10"/>
  <c r="L308" i="10"/>
  <c r="K308" i="10"/>
  <c r="J308" i="10"/>
  <c r="I308" i="10"/>
  <c r="H308" i="10"/>
  <c r="F308" i="10"/>
  <c r="E308" i="10"/>
  <c r="Q307" i="10"/>
  <c r="Q306" i="10"/>
  <c r="Q305" i="10"/>
  <c r="Q304" i="10"/>
  <c r="Q303" i="10"/>
  <c r="Q302" i="10"/>
  <c r="Q301" i="10"/>
  <c r="Q300" i="10"/>
  <c r="Q299" i="10"/>
  <c r="Q298" i="10"/>
  <c r="Q297" i="10"/>
  <c r="Q296" i="10"/>
  <c r="Q295" i="10"/>
  <c r="Q294" i="10"/>
  <c r="Q293" i="10"/>
  <c r="Q292" i="10"/>
  <c r="Q291" i="10"/>
  <c r="Q290" i="10"/>
  <c r="Q289" i="10"/>
  <c r="H289" i="10"/>
  <c r="Q288" i="10"/>
  <c r="Q308" i="10" s="1"/>
  <c r="J288" i="10"/>
  <c r="G288" i="10"/>
  <c r="G308" i="10" s="1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Q283" i="10"/>
  <c r="Q282" i="10"/>
  <c r="Q281" i="10"/>
  <c r="Q284" i="10" s="1"/>
  <c r="P279" i="10"/>
  <c r="O279" i="10"/>
  <c r="N279" i="10"/>
  <c r="M279" i="10"/>
  <c r="L279" i="10"/>
  <c r="K279" i="10"/>
  <c r="H275" i="10"/>
  <c r="G275" i="10"/>
  <c r="F275" i="10"/>
  <c r="E275" i="10"/>
  <c r="H274" i="10"/>
  <c r="G274" i="10"/>
  <c r="F274" i="10"/>
  <c r="E274" i="10"/>
  <c r="H273" i="10"/>
  <c r="G273" i="10"/>
  <c r="F273" i="10"/>
  <c r="E273" i="10"/>
  <c r="H272" i="10"/>
  <c r="H279" i="10" s="1"/>
  <c r="Q270" i="10"/>
  <c r="I270" i="10"/>
  <c r="Q269" i="10"/>
  <c r="Q268" i="10"/>
  <c r="I268" i="10"/>
  <c r="I267" i="10"/>
  <c r="Q267" i="10" s="1"/>
  <c r="J266" i="10"/>
  <c r="J279" i="10" s="1"/>
  <c r="F266" i="10"/>
  <c r="G265" i="10"/>
  <c r="G279" i="10" s="1"/>
  <c r="F265" i="10"/>
  <c r="F279" i="10" s="1"/>
  <c r="E265" i="10"/>
  <c r="E279" i="10" s="1"/>
  <c r="I264" i="10"/>
  <c r="I279" i="10" s="1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Q259" i="10"/>
  <c r="Q258" i="10"/>
  <c r="Q257" i="10"/>
  <c r="Q260" i="10" s="1"/>
  <c r="P253" i="10"/>
  <c r="O253" i="10"/>
  <c r="N253" i="10"/>
  <c r="M253" i="10"/>
  <c r="L253" i="10"/>
  <c r="K253" i="10"/>
  <c r="J253" i="10"/>
  <c r="F253" i="10"/>
  <c r="Q252" i="10"/>
  <c r="I252" i="10"/>
  <c r="H243" i="10"/>
  <c r="Q242" i="10"/>
  <c r="H242" i="10"/>
  <c r="Q241" i="10"/>
  <c r="Q240" i="10"/>
  <c r="H240" i="10"/>
  <c r="Q239" i="10"/>
  <c r="I238" i="10"/>
  <c r="Q238" i="10" s="1"/>
  <c r="H238" i="10"/>
  <c r="I237" i="10"/>
  <c r="H237" i="10"/>
  <c r="Q237" i="10" s="1"/>
  <c r="Q236" i="10"/>
  <c r="I236" i="10"/>
  <c r="Q235" i="10"/>
  <c r="Q234" i="10"/>
  <c r="I233" i="10"/>
  <c r="Q233" i="10" s="1"/>
  <c r="Q232" i="10"/>
  <c r="I231" i="10"/>
  <c r="Q231" i="10" s="1"/>
  <c r="Q230" i="10"/>
  <c r="G230" i="10"/>
  <c r="Q229" i="10"/>
  <c r="Q228" i="10"/>
  <c r="Q227" i="10"/>
  <c r="Q226" i="10"/>
  <c r="Q225" i="10"/>
  <c r="Q224" i="10"/>
  <c r="I223" i="10"/>
  <c r="Q223" i="10" s="1"/>
  <c r="H223" i="10"/>
  <c r="H253" i="10" s="1"/>
  <c r="I222" i="10"/>
  <c r="I253" i="10" s="1"/>
  <c r="G221" i="10"/>
  <c r="G253" i="10" s="1"/>
  <c r="E221" i="10"/>
  <c r="Q221" i="10" s="1"/>
  <c r="Q220" i="10"/>
  <c r="P216" i="10"/>
  <c r="O216" i="10"/>
  <c r="N216" i="10"/>
  <c r="M216" i="10"/>
  <c r="L216" i="10"/>
  <c r="K216" i="10"/>
  <c r="I215" i="10"/>
  <c r="Q215" i="10" s="1"/>
  <c r="H214" i="10"/>
  <c r="Q213" i="10"/>
  <c r="Q212" i="10"/>
  <c r="Q211" i="10"/>
  <c r="Q210" i="10"/>
  <c r="G209" i="10"/>
  <c r="F209" i="10"/>
  <c r="E209" i="10"/>
  <c r="G208" i="10"/>
  <c r="F208" i="10"/>
  <c r="E208" i="10"/>
  <c r="G207" i="10"/>
  <c r="F207" i="10"/>
  <c r="F216" i="10" s="1"/>
  <c r="E207" i="10"/>
  <c r="Q206" i="10"/>
  <c r="H206" i="10"/>
  <c r="R205" i="10"/>
  <c r="Q205" i="10"/>
  <c r="J204" i="10"/>
  <c r="I204" i="10"/>
  <c r="Q204" i="10" s="1"/>
  <c r="Q203" i="10"/>
  <c r="E202" i="10"/>
  <c r="Q202" i="10" s="1"/>
  <c r="Q201" i="10"/>
  <c r="E200" i="10"/>
  <c r="Q200" i="10" s="1"/>
  <c r="Q199" i="10"/>
  <c r="I198" i="10"/>
  <c r="I216" i="10" s="1"/>
  <c r="H198" i="10"/>
  <c r="H216" i="10" s="1"/>
  <c r="G198" i="10"/>
  <c r="E198" i="10"/>
  <c r="I197" i="10"/>
  <c r="H197" i="10"/>
  <c r="G197" i="10"/>
  <c r="F197" i="10"/>
  <c r="E197" i="10"/>
  <c r="G196" i="10"/>
  <c r="E196" i="10"/>
  <c r="Q196" i="10" s="1"/>
  <c r="Q195" i="10"/>
  <c r="J195" i="10"/>
  <c r="J216" i="10" s="1"/>
  <c r="F195" i="10"/>
  <c r="Q194" i="10"/>
  <c r="F194" i="10"/>
  <c r="E194" i="10"/>
  <c r="G193" i="10"/>
  <c r="Q193" i="10" s="1"/>
  <c r="F193" i="10"/>
  <c r="E193" i="10"/>
  <c r="P190" i="10"/>
  <c r="O190" i="10"/>
  <c r="N190" i="10"/>
  <c r="M190" i="10"/>
  <c r="L190" i="10"/>
  <c r="K190" i="10"/>
  <c r="J190" i="10"/>
  <c r="H190" i="10"/>
  <c r="G190" i="10"/>
  <c r="F190" i="10"/>
  <c r="E190" i="10"/>
  <c r="Q189" i="10"/>
  <c r="Q188" i="10"/>
  <c r="I188" i="10"/>
  <c r="I190" i="10" s="1"/>
  <c r="Q187" i="10"/>
  <c r="Q186" i="10"/>
  <c r="E186" i="10"/>
  <c r="Q185" i="10"/>
  <c r="Q184" i="10"/>
  <c r="Q183" i="10"/>
  <c r="Q182" i="10"/>
  <c r="Q181" i="10"/>
  <c r="Q180" i="10"/>
  <c r="Q179" i="10"/>
  <c r="Q178" i="10"/>
  <c r="Q190" i="10" s="1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Q173" i="10"/>
  <c r="Q172" i="10"/>
  <c r="E171" i="10"/>
  <c r="Q171" i="10" s="1"/>
  <c r="Q174" i="10" s="1"/>
  <c r="Q169" i="10"/>
  <c r="Q168" i="10"/>
  <c r="Q167" i="10"/>
  <c r="P163" i="10"/>
  <c r="O163" i="10"/>
  <c r="N163" i="10"/>
  <c r="M163" i="10"/>
  <c r="L163" i="10"/>
  <c r="K163" i="10"/>
  <c r="J163" i="10"/>
  <c r="I163" i="10"/>
  <c r="H163" i="10"/>
  <c r="F163" i="10"/>
  <c r="E163" i="10"/>
  <c r="G162" i="10"/>
  <c r="Q162" i="10" s="1"/>
  <c r="Q161" i="10"/>
  <c r="Q163" i="10" s="1"/>
  <c r="G161" i="10"/>
  <c r="G163" i="10" s="1"/>
  <c r="P157" i="10"/>
  <c r="O157" i="10"/>
  <c r="N157" i="10"/>
  <c r="M157" i="10"/>
  <c r="L157" i="10"/>
  <c r="K157" i="10"/>
  <c r="F157" i="10"/>
  <c r="E157" i="10"/>
  <c r="Q156" i="10"/>
  <c r="Q155" i="10"/>
  <c r="Q154" i="10"/>
  <c r="Q153" i="10"/>
  <c r="J152" i="10"/>
  <c r="Q152" i="10" s="1"/>
  <c r="Q151" i="10"/>
  <c r="J151" i="10"/>
  <c r="J150" i="10"/>
  <c r="J157" i="10" s="1"/>
  <c r="Q149" i="10"/>
  <c r="Q148" i="10"/>
  <c r="Q147" i="10"/>
  <c r="J147" i="10"/>
  <c r="J146" i="10"/>
  <c r="Q146" i="10" s="1"/>
  <c r="Q145" i="10"/>
  <c r="I144" i="10"/>
  <c r="Q144" i="10" s="1"/>
  <c r="I143" i="10"/>
  <c r="Q143" i="10" s="1"/>
  <c r="Q142" i="10"/>
  <c r="I142" i="10"/>
  <c r="I157" i="10" s="1"/>
  <c r="H141" i="10"/>
  <c r="Q141" i="10" s="1"/>
  <c r="H140" i="10"/>
  <c r="Q140" i="10" s="1"/>
  <c r="H139" i="10"/>
  <c r="Q139" i="10" s="1"/>
  <c r="Q138" i="10"/>
  <c r="Q137" i="10"/>
  <c r="H137" i="10"/>
  <c r="H136" i="10"/>
  <c r="H157" i="10" s="1"/>
  <c r="Q135" i="10"/>
  <c r="G135" i="10"/>
  <c r="Q134" i="10"/>
  <c r="G134" i="10"/>
  <c r="G133" i="10"/>
  <c r="Q133" i="10" s="1"/>
  <c r="G132" i="10"/>
  <c r="Q132" i="10" s="1"/>
  <c r="Q131" i="10"/>
  <c r="G131" i="10"/>
  <c r="G130" i="10"/>
  <c r="Q130" i="10" s="1"/>
  <c r="Q129" i="10"/>
  <c r="Q128" i="10"/>
  <c r="Q127" i="10"/>
  <c r="E127" i="10"/>
  <c r="Q126" i="10"/>
  <c r="E125" i="10"/>
  <c r="Q125" i="10" s="1"/>
  <c r="Q124" i="10"/>
  <c r="Q123" i="10"/>
  <c r="Q122" i="10"/>
  <c r="Q121" i="10"/>
  <c r="Q120" i="10"/>
  <c r="Q119" i="10"/>
  <c r="Q118" i="10"/>
  <c r="Q117" i="10"/>
  <c r="Q116" i="10"/>
  <c r="P112" i="10"/>
  <c r="O112" i="10"/>
  <c r="N112" i="10"/>
  <c r="M112" i="10"/>
  <c r="L112" i="10"/>
  <c r="K112" i="10"/>
  <c r="J112" i="10"/>
  <c r="I112" i="10"/>
  <c r="H112" i="10"/>
  <c r="G112" i="10"/>
  <c r="E112" i="10"/>
  <c r="Q111" i="10"/>
  <c r="K110" i="10"/>
  <c r="J110" i="10"/>
  <c r="I110" i="10"/>
  <c r="Q109" i="10"/>
  <c r="Q108" i="10"/>
  <c r="Q107" i="10"/>
  <c r="F107" i="10"/>
  <c r="F112" i="10" s="1"/>
  <c r="J106" i="10"/>
  <c r="Q106" i="10" s="1"/>
  <c r="I106" i="10"/>
  <c r="Q105" i="10"/>
  <c r="G104" i="10"/>
  <c r="Q104" i="10" s="1"/>
  <c r="Q103" i="10"/>
  <c r="Q102" i="10"/>
  <c r="Q101" i="10"/>
  <c r="Q100" i="10"/>
  <c r="Q99" i="10"/>
  <c r="Q98" i="10"/>
  <c r="Q97" i="10"/>
  <c r="Q96" i="10"/>
  <c r="Q95" i="10"/>
  <c r="P91" i="10"/>
  <c r="O91" i="10"/>
  <c r="N91" i="10"/>
  <c r="M91" i="10"/>
  <c r="L91" i="10"/>
  <c r="K91" i="10"/>
  <c r="Q90" i="10"/>
  <c r="Q89" i="10"/>
  <c r="Q88" i="10"/>
  <c r="Q87" i="10"/>
  <c r="Q86" i="10"/>
  <c r="J85" i="10"/>
  <c r="Q85" i="10" s="1"/>
  <c r="I85" i="10"/>
  <c r="H85" i="10"/>
  <c r="H91" i="10" s="1"/>
  <c r="G85" i="10"/>
  <c r="G91" i="10" s="1"/>
  <c r="F85" i="10"/>
  <c r="F91" i="10" s="1"/>
  <c r="E85" i="10"/>
  <c r="E91" i="10" s="1"/>
  <c r="Q84" i="10"/>
  <c r="P80" i="10"/>
  <c r="O80" i="10"/>
  <c r="N80" i="10"/>
  <c r="M80" i="10"/>
  <c r="L80" i="10"/>
  <c r="K80" i="10"/>
  <c r="F80" i="10"/>
  <c r="Q79" i="10"/>
  <c r="Q77" i="10"/>
  <c r="Q76" i="10"/>
  <c r="Q75" i="10"/>
  <c r="Q74" i="10"/>
  <c r="I74" i="10"/>
  <c r="H74" i="10"/>
  <c r="I73" i="10"/>
  <c r="Q72" i="10"/>
  <c r="I71" i="10"/>
  <c r="I70" i="10"/>
  <c r="I69" i="10"/>
  <c r="Q69" i="10" s="1"/>
  <c r="H69" i="10"/>
  <c r="H68" i="10"/>
  <c r="Q68" i="10" s="1"/>
  <c r="Q67" i="10"/>
  <c r="Q66" i="10"/>
  <c r="Q65" i="10"/>
  <c r="Q63" i="10"/>
  <c r="Q62" i="10"/>
  <c r="Q61" i="10"/>
  <c r="Q60" i="10"/>
  <c r="Q59" i="10"/>
  <c r="Q58" i="10"/>
  <c r="Q57" i="10"/>
  <c r="Q56" i="10"/>
  <c r="E55" i="10"/>
  <c r="E80" i="10" s="1"/>
  <c r="J54" i="10"/>
  <c r="I54" i="10"/>
  <c r="Q54" i="10" s="1"/>
  <c r="G54" i="10"/>
  <c r="F54" i="10"/>
  <c r="E54" i="10"/>
  <c r="Q53" i="10"/>
  <c r="G52" i="10"/>
  <c r="Q52" i="10" s="1"/>
  <c r="Q51" i="10"/>
  <c r="Q50" i="10"/>
  <c r="Q49" i="10"/>
  <c r="G49" i="10"/>
  <c r="Q48" i="10"/>
  <c r="Q47" i="10"/>
  <c r="I47" i="10"/>
  <c r="L46" i="10"/>
  <c r="Q46" i="10" s="1"/>
  <c r="K46" i="10"/>
  <c r="J46" i="10"/>
  <c r="J80" i="10" s="1"/>
  <c r="I46" i="10"/>
  <c r="H46" i="10"/>
  <c r="H80" i="10" s="1"/>
  <c r="G46" i="10"/>
  <c r="G80" i="10" s="1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Q39" i="10"/>
  <c r="Q37" i="10"/>
  <c r="F35" i="10"/>
  <c r="P34" i="10"/>
  <c r="O34" i="10"/>
  <c r="N34" i="10"/>
  <c r="M34" i="10"/>
  <c r="L34" i="10"/>
  <c r="K34" i="10"/>
  <c r="J34" i="10"/>
  <c r="I34" i="10"/>
  <c r="H34" i="10"/>
  <c r="G34" i="10"/>
  <c r="F34" i="10"/>
  <c r="Q33" i="10"/>
  <c r="Q32" i="10"/>
  <c r="Q31" i="10"/>
  <c r="Q30" i="10"/>
  <c r="Q29" i="10"/>
  <c r="Q28" i="10"/>
  <c r="E27" i="10"/>
  <c r="Q26" i="10"/>
  <c r="Q25" i="10"/>
  <c r="Q24" i="10"/>
  <c r="Q23" i="10"/>
  <c r="Q22" i="10"/>
  <c r="G21" i="10"/>
  <c r="Q21" i="10" s="1"/>
  <c r="F21" i="10"/>
  <c r="E21" i="10"/>
  <c r="E34" i="10" s="1"/>
  <c r="Q20" i="10"/>
  <c r="Q19" i="10"/>
  <c r="Q18" i="10"/>
  <c r="Q17" i="10"/>
  <c r="I17" i="10"/>
  <c r="H17" i="10"/>
  <c r="Q16" i="10"/>
  <c r="Q15" i="10"/>
  <c r="Q14" i="10"/>
  <c r="Q13" i="10"/>
  <c r="Q12" i="10"/>
  <c r="Q34" i="10" s="1"/>
  <c r="G10" i="10"/>
  <c r="F10" i="10"/>
  <c r="P8" i="10"/>
  <c r="O8" i="10"/>
  <c r="N8" i="10"/>
  <c r="M8" i="10"/>
  <c r="L8" i="10"/>
  <c r="K8" i="10"/>
  <c r="J8" i="10"/>
  <c r="I8" i="10"/>
  <c r="H8" i="10"/>
  <c r="G8" i="10"/>
  <c r="F8" i="10"/>
  <c r="E8" i="10"/>
  <c r="Q7" i="10"/>
  <c r="Q6" i="10"/>
  <c r="Q8" i="10" s="1"/>
  <c r="Q208" i="10" l="1"/>
  <c r="Q207" i="10"/>
  <c r="Q209" i="10"/>
  <c r="G216" i="10"/>
  <c r="Q112" i="10"/>
  <c r="Q80" i="10"/>
  <c r="Q91" i="10"/>
  <c r="F1" i="10"/>
  <c r="Q253" i="10"/>
  <c r="Q157" i="10"/>
  <c r="I80" i="10"/>
  <c r="Q264" i="10"/>
  <c r="Q279" i="10" s="1"/>
  <c r="E216" i="10"/>
  <c r="E1" i="10" s="1"/>
  <c r="J91" i="10"/>
  <c r="G157" i="10"/>
  <c r="Q55" i="10"/>
  <c r="Q136" i="10"/>
  <c r="Q198" i="10"/>
  <c r="Q265" i="10"/>
  <c r="Q150" i="10"/>
  <c r="E253" i="10"/>
  <c r="Q266" i="10"/>
  <c r="Q216" i="10" l="1"/>
  <c r="FO9" i="2" l="1"/>
  <c r="FN9" i="2" l="1"/>
  <c r="FM9" i="2" l="1"/>
  <c r="FL6" i="2" l="1"/>
  <c r="FL9" i="2" l="1"/>
  <c r="FN15" i="2"/>
  <c r="FN2" i="2" s="1"/>
  <c r="FO15" i="2"/>
  <c r="FO2" i="2" s="1"/>
  <c r="FP15" i="2"/>
  <c r="FP2" i="2" s="1"/>
  <c r="FQ15" i="2"/>
  <c r="FQ2" i="2" s="1"/>
  <c r="FR15" i="2"/>
  <c r="FR2" i="2" s="1"/>
  <c r="FS15" i="2"/>
  <c r="FS2" i="2" s="1"/>
  <c r="FT15" i="2"/>
  <c r="FT2" i="2" s="1"/>
  <c r="FU15" i="2"/>
  <c r="FU2" i="2" s="1"/>
  <c r="FV15" i="2"/>
  <c r="FV2" i="2" s="1"/>
  <c r="FH9" i="2" l="1"/>
  <c r="FG9" i="2" l="1"/>
  <c r="FG15" i="2" s="1"/>
  <c r="FG2" i="2" s="1"/>
  <c r="FH15" i="2"/>
  <c r="FH2" i="2" s="1"/>
  <c r="FI15" i="2"/>
  <c r="FI2" i="2" s="1"/>
  <c r="FJ15" i="2"/>
  <c r="FJ2" i="2" s="1"/>
  <c r="FK15" i="2"/>
  <c r="FK2" i="2" s="1"/>
  <c r="FL15" i="2"/>
  <c r="FL2" i="2" s="1"/>
  <c r="FM15" i="2"/>
  <c r="FM2" i="2" s="1"/>
  <c r="FF9" i="2"/>
  <c r="FE9" i="2" l="1"/>
  <c r="FD9" i="2" l="1"/>
  <c r="FA12" i="2" l="1"/>
  <c r="FA9" i="2"/>
  <c r="EZ9" i="2" l="1"/>
  <c r="EY9" i="2"/>
  <c r="D37" i="12" l="1"/>
  <c r="D36" i="12"/>
  <c r="D30" i="12"/>
  <c r="D29" i="12"/>
  <c r="D22" i="12"/>
  <c r="D23" i="12" s="1"/>
  <c r="D14" i="12"/>
  <c r="D15" i="12" s="1"/>
  <c r="D7" i="12"/>
  <c r="EX15" i="2" l="1"/>
  <c r="EX2" i="2" s="1"/>
  <c r="EY15" i="2"/>
  <c r="EY2" i="2" s="1"/>
  <c r="EZ15" i="2"/>
  <c r="EZ2" i="2" s="1"/>
  <c r="FA15" i="2"/>
  <c r="FA2" i="2" s="1"/>
  <c r="FB15" i="2"/>
  <c r="FB2" i="2" s="1"/>
  <c r="FC15" i="2"/>
  <c r="FC2" i="2" s="1"/>
  <c r="FD15" i="2"/>
  <c r="FD2" i="2" s="1"/>
  <c r="FE15" i="2"/>
  <c r="FE2" i="2" s="1"/>
  <c r="FF15" i="2"/>
  <c r="FF2" i="2" s="1"/>
  <c r="EW15" i="2"/>
  <c r="EW2" i="2" s="1"/>
  <c r="ET15" i="2"/>
  <c r="ET2" i="2" s="1"/>
  <c r="EU15" i="2"/>
  <c r="EU2" i="2" s="1"/>
  <c r="EV15" i="2"/>
  <c r="EV2" i="2" s="1"/>
  <c r="ES15" i="2" l="1"/>
  <c r="ES2" i="2" s="1"/>
  <c r="C23" i="12" l="1"/>
  <c r="EM15" i="2" l="1"/>
  <c r="EM2" i="2" s="1"/>
  <c r="EN15" i="2"/>
  <c r="EN2" i="2" s="1"/>
  <c r="EO15" i="2"/>
  <c r="EO2" i="2" s="1"/>
  <c r="EP15" i="2"/>
  <c r="EP2" i="2" s="1"/>
  <c r="ER15" i="2"/>
  <c r="ER2" i="2" s="1"/>
  <c r="EQ15" i="2"/>
  <c r="EQ2" i="2" s="1"/>
  <c r="C36" i="12"/>
  <c r="C37" i="12" s="1"/>
  <c r="C29" i="12"/>
  <c r="C30" i="12" s="1"/>
  <c r="C15" i="12"/>
  <c r="C14" i="12"/>
  <c r="C6" i="12"/>
  <c r="C7" i="12" s="1"/>
  <c r="X45" i="11" l="1"/>
  <c r="V45" i="11"/>
  <c r="U45" i="11"/>
  <c r="P45" i="11"/>
  <c r="N45" i="11"/>
  <c r="M45" i="11"/>
  <c r="H45" i="11"/>
  <c r="F45" i="11"/>
  <c r="E45" i="11"/>
  <c r="Q44" i="11"/>
  <c r="I44" i="11"/>
  <c r="D44" i="11"/>
  <c r="Q43" i="11"/>
  <c r="D43" i="11"/>
  <c r="I43" i="11" s="1"/>
  <c r="Q42" i="11"/>
  <c r="D42" i="11"/>
  <c r="I42" i="11" s="1"/>
  <c r="Y41" i="11"/>
  <c r="Q41" i="11"/>
  <c r="D41" i="11"/>
  <c r="I41" i="11" s="1"/>
  <c r="Q40" i="11"/>
  <c r="D40" i="11"/>
  <c r="I40" i="11" s="1"/>
  <c r="Q39" i="11"/>
  <c r="D39" i="11"/>
  <c r="I39" i="11" s="1"/>
  <c r="Q38" i="11"/>
  <c r="D38" i="11"/>
  <c r="I38" i="11" s="1"/>
  <c r="Q37" i="11"/>
  <c r="D37" i="11"/>
  <c r="I37" i="11" s="1"/>
  <c r="Q36" i="11"/>
  <c r="D36" i="11"/>
  <c r="I36" i="11" s="1"/>
  <c r="Y35" i="11"/>
  <c r="Q35" i="11"/>
  <c r="D35" i="11"/>
  <c r="I35" i="11" s="1"/>
  <c r="Q34" i="11"/>
  <c r="D34" i="11"/>
  <c r="I34" i="11" s="1"/>
  <c r="Q33" i="11"/>
  <c r="D33" i="11"/>
  <c r="I33" i="11" s="1"/>
  <c r="Q32" i="11"/>
  <c r="D32" i="11"/>
  <c r="I32" i="11" s="1"/>
  <c r="Q31" i="11"/>
  <c r="D31" i="11"/>
  <c r="I31" i="11" s="1"/>
  <c r="Q30" i="11"/>
  <c r="D30" i="11"/>
  <c r="I30" i="11" s="1"/>
  <c r="Y29" i="11"/>
  <c r="Q29" i="11"/>
  <c r="D29" i="11"/>
  <c r="I29" i="11" s="1"/>
  <c r="Y28" i="11"/>
  <c r="Q28" i="11"/>
  <c r="D28" i="11"/>
  <c r="Q27" i="11"/>
  <c r="D27" i="11"/>
  <c r="I27" i="11" s="1"/>
  <c r="D26" i="11"/>
  <c r="I26" i="11" s="1"/>
  <c r="X23" i="11"/>
  <c r="V23" i="11"/>
  <c r="U23" i="11"/>
  <c r="P23" i="11"/>
  <c r="N23" i="11"/>
  <c r="M23" i="11"/>
  <c r="H23" i="11"/>
  <c r="F23" i="11"/>
  <c r="E23" i="11"/>
  <c r="Y22" i="11"/>
  <c r="Q22" i="11"/>
  <c r="I22" i="11"/>
  <c r="Y21" i="11"/>
  <c r="Q21" i="11"/>
  <c r="I21" i="11"/>
  <c r="Y20" i="11"/>
  <c r="Q20" i="11"/>
  <c r="I20" i="11"/>
  <c r="Y19" i="11"/>
  <c r="Q19" i="11"/>
  <c r="I19" i="11"/>
  <c r="Y18" i="11"/>
  <c r="Q18" i="11"/>
  <c r="I18" i="11"/>
  <c r="Y17" i="11"/>
  <c r="Q17" i="11"/>
  <c r="I17" i="11"/>
  <c r="Y16" i="11"/>
  <c r="Q16" i="11"/>
  <c r="I16" i="11"/>
  <c r="Y15" i="11"/>
  <c r="Q15" i="11"/>
  <c r="I15" i="11"/>
  <c r="Y14" i="11"/>
  <c r="Q14" i="11"/>
  <c r="I14" i="11"/>
  <c r="Y13" i="11"/>
  <c r="Q13" i="11"/>
  <c r="I13" i="11"/>
  <c r="Y12" i="11"/>
  <c r="Q12" i="11"/>
  <c r="I12" i="11"/>
  <c r="Y11" i="11"/>
  <c r="Q11" i="11"/>
  <c r="I11" i="11"/>
  <c r="Y10" i="11"/>
  <c r="Q10" i="11"/>
  <c r="I10" i="11"/>
  <c r="Y9" i="11"/>
  <c r="Q9" i="11"/>
  <c r="I9" i="11"/>
  <c r="Y8" i="11"/>
  <c r="Q8" i="11"/>
  <c r="I8" i="11"/>
  <c r="Y7" i="11"/>
  <c r="Q7" i="11"/>
  <c r="I7" i="11"/>
  <c r="Y6" i="11"/>
  <c r="Q6" i="11"/>
  <c r="I6" i="11"/>
  <c r="Y5" i="11"/>
  <c r="Q5" i="11"/>
  <c r="I5" i="11"/>
  <c r="Y4" i="11"/>
  <c r="Q4" i="11"/>
  <c r="I4" i="11"/>
  <c r="I23" i="11" l="1"/>
  <c r="Y23" i="11"/>
  <c r="Y34" i="11"/>
  <c r="W45" i="11"/>
  <c r="Y40" i="11"/>
  <c r="Y27" i="11"/>
  <c r="Q23" i="11"/>
  <c r="O45" i="11"/>
  <c r="D45" i="11"/>
  <c r="Q26" i="11"/>
  <c r="Q45" i="11" s="1"/>
  <c r="Y33" i="11"/>
  <c r="Y39" i="11"/>
  <c r="Y44" i="11"/>
  <c r="Y26" i="11"/>
  <c r="Y32" i="11"/>
  <c r="Y38" i="11"/>
  <c r="Y31" i="11"/>
  <c r="Y37" i="11"/>
  <c r="Y43" i="11"/>
  <c r="I28" i="11"/>
  <c r="I45" i="11" s="1"/>
  <c r="Y30" i="11"/>
  <c r="Y36" i="11"/>
  <c r="Y42" i="11"/>
  <c r="G45" i="11" l="1"/>
  <c r="Y45" i="11"/>
  <c r="EL6" i="2" l="1"/>
  <c r="EL15" i="2" s="1"/>
  <c r="EH15" i="2" l="1"/>
  <c r="EI15" i="2"/>
  <c r="EJ15" i="2"/>
  <c r="EK15" i="2"/>
  <c r="EL2" i="2"/>
  <c r="EF9" i="2" l="1"/>
  <c r="EF15" i="2" s="1"/>
  <c r="EF2" i="2" s="1"/>
  <c r="CN6" i="2"/>
  <c r="AY6" i="2"/>
  <c r="AY15" i="2" s="1"/>
  <c r="AY2" i="2" s="1"/>
  <c r="AX6" i="2"/>
  <c r="AX15" i="2" s="1"/>
  <c r="AX2" i="2" s="1"/>
  <c r="AS6" i="2"/>
  <c r="AS15" i="2" s="1"/>
  <c r="AS2" i="2" s="1"/>
  <c r="P6" i="2"/>
  <c r="P15" i="2" s="1"/>
  <c r="P2" i="2" s="1"/>
  <c r="CN4" i="2"/>
  <c r="BU4" i="2"/>
  <c r="I42" i="5"/>
  <c r="I41" i="5"/>
  <c r="I40" i="5"/>
  <c r="I39" i="5"/>
  <c r="I38" i="5"/>
  <c r="I37" i="5"/>
  <c r="I36" i="5"/>
  <c r="I35" i="5"/>
  <c r="I34" i="5"/>
  <c r="I33" i="5"/>
  <c r="I32" i="5"/>
  <c r="H43" i="5"/>
  <c r="G43" i="5"/>
  <c r="F43" i="5"/>
  <c r="E43" i="5"/>
  <c r="D43" i="5"/>
  <c r="C43" i="5"/>
  <c r="D19" i="5"/>
  <c r="E19" i="5"/>
  <c r="F19" i="5"/>
  <c r="G19" i="5"/>
  <c r="H19" i="5"/>
  <c r="C19" i="5"/>
  <c r="I9" i="5"/>
  <c r="I10" i="5"/>
  <c r="I11" i="5"/>
  <c r="I12" i="5"/>
  <c r="I13" i="5"/>
  <c r="I14" i="5"/>
  <c r="I15" i="5"/>
  <c r="I16" i="5"/>
  <c r="I17" i="5"/>
  <c r="I18" i="5"/>
  <c r="I8" i="5"/>
  <c r="AD16" i="2"/>
  <c r="AC16" i="2"/>
  <c r="EG15" i="2"/>
  <c r="EG2" i="2" s="1"/>
  <c r="EC15" i="2"/>
  <c r="EB15" i="2"/>
  <c r="EB2" i="2" s="1"/>
  <c r="EA15" i="2"/>
  <c r="EA2" i="2" s="1"/>
  <c r="DZ15" i="2"/>
  <c r="DZ2" i="2" s="1"/>
  <c r="DY15" i="2"/>
  <c r="DY2" i="2" s="1"/>
  <c r="DX15" i="2"/>
  <c r="DW15" i="2"/>
  <c r="DW2" i="2" s="1"/>
  <c r="DV15" i="2"/>
  <c r="DV2" i="2" s="1"/>
  <c r="DU15" i="2"/>
  <c r="DU2" i="2" s="1"/>
  <c r="DT15" i="2"/>
  <c r="DT2" i="2" s="1"/>
  <c r="DS15" i="2"/>
  <c r="DS2" i="2" s="1"/>
  <c r="DR15" i="2"/>
  <c r="DR2" i="2" s="1"/>
  <c r="DQ15" i="2"/>
  <c r="DQ2" i="2" s="1"/>
  <c r="DP15" i="2"/>
  <c r="DP2" i="2" s="1"/>
  <c r="DO15" i="2"/>
  <c r="DO2" i="2" s="1"/>
  <c r="DN15" i="2"/>
  <c r="DN2" i="2" s="1"/>
  <c r="DM15" i="2"/>
  <c r="DM2" i="2" s="1"/>
  <c r="DL15" i="2"/>
  <c r="DK15" i="2"/>
  <c r="DK2" i="2" s="1"/>
  <c r="DJ15" i="2"/>
  <c r="DJ2" i="2" s="1"/>
  <c r="DI15" i="2"/>
  <c r="DI2" i="2" s="1"/>
  <c r="DH15" i="2"/>
  <c r="DH2" i="2" s="1"/>
  <c r="DG15" i="2"/>
  <c r="DG2" i="2" s="1"/>
  <c r="DF15" i="2"/>
  <c r="DF2" i="2" s="1"/>
  <c r="DE15" i="2"/>
  <c r="DE2" i="2" s="1"/>
  <c r="DD15" i="2"/>
  <c r="DD2" i="2" s="1"/>
  <c r="DC15" i="2"/>
  <c r="DC2" i="2" s="1"/>
  <c r="DB15" i="2"/>
  <c r="DB2" i="2" s="1"/>
  <c r="DA15" i="2"/>
  <c r="DA2" i="2" s="1"/>
  <c r="CZ15" i="2"/>
  <c r="CZ2" i="2" s="1"/>
  <c r="CY15" i="2"/>
  <c r="CY2" i="2" s="1"/>
  <c r="CX15" i="2"/>
  <c r="CX2" i="2" s="1"/>
  <c r="CW15" i="2"/>
  <c r="CW2" i="2" s="1"/>
  <c r="CV15" i="2"/>
  <c r="CV2" i="2" s="1"/>
  <c r="CU15" i="2"/>
  <c r="CU2" i="2" s="1"/>
  <c r="CT15" i="2"/>
  <c r="CT2" i="2" s="1"/>
  <c r="CS15" i="2"/>
  <c r="CS2" i="2" s="1"/>
  <c r="CR15" i="2"/>
  <c r="CR2" i="2" s="1"/>
  <c r="CQ15" i="2"/>
  <c r="CQ2" i="2" s="1"/>
  <c r="CP15" i="2"/>
  <c r="CP2" i="2" s="1"/>
  <c r="CO15" i="2"/>
  <c r="CO2" i="2" s="1"/>
  <c r="CM15" i="2"/>
  <c r="CM2" i="2" s="1"/>
  <c r="CL15" i="2"/>
  <c r="CL2" i="2" s="1"/>
  <c r="CK15" i="2"/>
  <c r="CK2" i="2" s="1"/>
  <c r="CJ15" i="2"/>
  <c r="CJ2" i="2" s="1"/>
  <c r="CI15" i="2"/>
  <c r="CI2" i="2" s="1"/>
  <c r="CH15" i="2"/>
  <c r="CH2" i="2" s="1"/>
  <c r="CG15" i="2"/>
  <c r="CG2" i="2" s="1"/>
  <c r="CF15" i="2"/>
  <c r="CF2" i="2" s="1"/>
  <c r="CE15" i="2"/>
  <c r="CE2" i="2" s="1"/>
  <c r="CD15" i="2"/>
  <c r="CD2" i="2" s="1"/>
  <c r="CC15" i="2"/>
  <c r="CC2" i="2" s="1"/>
  <c r="CB15" i="2"/>
  <c r="CB2" i="2" s="1"/>
  <c r="CA15" i="2"/>
  <c r="CA2" i="2" s="1"/>
  <c r="BZ15" i="2"/>
  <c r="BZ2" i="2" s="1"/>
  <c r="BY15" i="2"/>
  <c r="BY2" i="2" s="1"/>
  <c r="BX15" i="2"/>
  <c r="BX2" i="2" s="1"/>
  <c r="BW15" i="2"/>
  <c r="BW2" i="2" s="1"/>
  <c r="BV15" i="2"/>
  <c r="BV2" i="2" s="1"/>
  <c r="BT15" i="2"/>
  <c r="BT2" i="2" s="1"/>
  <c r="BS15" i="2"/>
  <c r="BS2" i="2" s="1"/>
  <c r="BR15" i="2"/>
  <c r="BR2" i="2" s="1"/>
  <c r="BQ15" i="2"/>
  <c r="BQ2" i="2" s="1"/>
  <c r="BP15" i="2"/>
  <c r="BP2" i="2" s="1"/>
  <c r="BO15" i="2"/>
  <c r="BO2" i="2" s="1"/>
  <c r="BN15" i="2"/>
  <c r="BN2" i="2" s="1"/>
  <c r="BM15" i="2"/>
  <c r="BM2" i="2" s="1"/>
  <c r="BL15" i="2"/>
  <c r="BL2" i="2" s="1"/>
  <c r="BK15" i="2"/>
  <c r="BK2" i="2" s="1"/>
  <c r="BJ15" i="2"/>
  <c r="BJ2" i="2" s="1"/>
  <c r="BI15" i="2"/>
  <c r="BI2" i="2" s="1"/>
  <c r="BH15" i="2"/>
  <c r="BH2" i="2" s="1"/>
  <c r="BG15" i="2"/>
  <c r="BG2" i="2" s="1"/>
  <c r="BF15" i="2"/>
  <c r="BF2" i="2" s="1"/>
  <c r="BE15" i="2"/>
  <c r="BE2" i="2" s="1"/>
  <c r="BD15" i="2"/>
  <c r="BD2" i="2" s="1"/>
  <c r="BC15" i="2"/>
  <c r="BC2" i="2" s="1"/>
  <c r="BB15" i="2"/>
  <c r="BB2" i="2" s="1"/>
  <c r="BA15" i="2"/>
  <c r="BA2" i="2" s="1"/>
  <c r="AZ15" i="2"/>
  <c r="AZ2" i="2" s="1"/>
  <c r="AW15" i="2"/>
  <c r="AW2" i="2" s="1"/>
  <c r="AV15" i="2"/>
  <c r="AV2" i="2" s="1"/>
  <c r="AU15" i="2"/>
  <c r="AU2" i="2" s="1"/>
  <c r="AT15" i="2"/>
  <c r="AT2" i="2" s="1"/>
  <c r="AR15" i="2"/>
  <c r="AR2" i="2" s="1"/>
  <c r="AQ15" i="2"/>
  <c r="AQ2" i="2" s="1"/>
  <c r="AP15" i="2"/>
  <c r="AP2" i="2" s="1"/>
  <c r="AO15" i="2"/>
  <c r="AO2" i="2" s="1"/>
  <c r="AN15" i="2"/>
  <c r="AN2" i="2" s="1"/>
  <c r="AM15" i="2"/>
  <c r="AM2" i="2" s="1"/>
  <c r="AL15" i="2"/>
  <c r="AL2" i="2" s="1"/>
  <c r="AK15" i="2"/>
  <c r="AK2" i="2" s="1"/>
  <c r="AJ15" i="2"/>
  <c r="AJ2" i="2" s="1"/>
  <c r="AI15" i="2"/>
  <c r="AI2" i="2" s="1"/>
  <c r="AH15" i="2"/>
  <c r="AH2" i="2" s="1"/>
  <c r="AG15" i="2"/>
  <c r="AG2" i="2" s="1"/>
  <c r="AF15" i="2"/>
  <c r="AF2" i="2" s="1"/>
  <c r="AE15" i="2"/>
  <c r="AE2" i="2" s="1"/>
  <c r="AD15" i="2"/>
  <c r="AD2" i="2" s="1"/>
  <c r="AC15" i="2"/>
  <c r="AC2" i="2" s="1"/>
  <c r="AB15" i="2"/>
  <c r="AB2" i="2" s="1"/>
  <c r="AA15" i="2"/>
  <c r="AA2" i="2" s="1"/>
  <c r="Z15" i="2"/>
  <c r="Z2" i="2" s="1"/>
  <c r="Y15" i="2"/>
  <c r="Y2" i="2" s="1"/>
  <c r="X15" i="2"/>
  <c r="X2" i="2" s="1"/>
  <c r="W15" i="2"/>
  <c r="W2" i="2" s="1"/>
  <c r="V15" i="2"/>
  <c r="V2" i="2" s="1"/>
  <c r="U15" i="2"/>
  <c r="U2" i="2" s="1"/>
  <c r="T15" i="2"/>
  <c r="T2" i="2" s="1"/>
  <c r="S15" i="2"/>
  <c r="S2" i="2" s="1"/>
  <c r="R15" i="2"/>
  <c r="R2" i="2" s="1"/>
  <c r="Q15" i="2"/>
  <c r="Q2" i="2" s="1"/>
  <c r="O15" i="2"/>
  <c r="O2" i="2" s="1"/>
  <c r="N15" i="2"/>
  <c r="N2" i="2" s="1"/>
  <c r="M15" i="2"/>
  <c r="M2" i="2" s="1"/>
  <c r="L15" i="2"/>
  <c r="L2" i="2" s="1"/>
  <c r="K15" i="2"/>
  <c r="K2" i="2" s="1"/>
  <c r="J15" i="2"/>
  <c r="J2" i="2" s="1"/>
  <c r="I15" i="2"/>
  <c r="I2" i="2" s="1"/>
  <c r="H15" i="2"/>
  <c r="H2" i="2" s="1"/>
  <c r="G15" i="2"/>
  <c r="G2" i="2" s="1"/>
  <c r="F15" i="2"/>
  <c r="F2" i="2" s="1"/>
  <c r="E15" i="2"/>
  <c r="E2" i="2" s="1"/>
  <c r="D15" i="2"/>
  <c r="D2" i="2" s="1"/>
  <c r="C15" i="2"/>
  <c r="C2" i="2" s="1"/>
  <c r="B15" i="2"/>
  <c r="B2" i="2" s="1"/>
  <c r="BU15" i="2"/>
  <c r="BU2" i="2" s="1"/>
  <c r="EK2" i="2"/>
  <c r="EJ2" i="2"/>
  <c r="EI2" i="2"/>
  <c r="EH2" i="2"/>
  <c r="DX2" i="2"/>
  <c r="DL2" i="2"/>
  <c r="CN15" i="2" l="1"/>
  <c r="CN2" i="2" s="1"/>
  <c r="EC2" i="2"/>
  <c r="ED15" i="2"/>
  <c r="ED2" i="2" s="1"/>
  <c r="EE15" i="2"/>
  <c r="EE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 Contreras</author>
    <author>Lucia</author>
    <author>Home</author>
    <author>lcontrerass</author>
    <author>Mariangeles Frias</author>
  </authors>
  <commentList>
    <comment ref="G38" authorId="0" shapeId="0" xr:uid="{04E253AC-4129-48E4-86EB-E56635226669}">
      <text>
        <r>
          <rPr>
            <b/>
            <sz val="9"/>
            <color indexed="81"/>
            <rFont val="Tahoma"/>
            <family val="2"/>
          </rPr>
          <t>Lucia Contreras:</t>
        </r>
        <r>
          <rPr>
            <sz val="9"/>
            <color indexed="81"/>
            <rFont val="Tahoma"/>
            <family val="2"/>
          </rPr>
          <t xml:space="preserve">
configuración</t>
        </r>
      </text>
    </comment>
    <comment ref="I103" authorId="1" shapeId="0" xr:uid="{722D079B-9CBE-4598-A717-76A6B449FA67}">
      <text>
        <r>
          <rPr>
            <b/>
            <sz val="9"/>
            <color indexed="81"/>
            <rFont val="Tahoma"/>
            <family val="2"/>
          </rPr>
          <t>Lucia:</t>
        </r>
        <r>
          <rPr>
            <sz val="9"/>
            <color indexed="81"/>
            <rFont val="Tahoma"/>
            <family val="2"/>
          </rPr>
          <t xml:space="preserve">
balance lxj</t>
        </r>
      </text>
    </comment>
    <comment ref="L162" authorId="2" shapeId="0" xr:uid="{B7381530-A420-426D-BF69-BA4D866DB57D}">
      <text>
        <r>
          <rPr>
            <b/>
            <sz val="9"/>
            <color indexed="81"/>
            <rFont val="Tahoma"/>
            <family val="2"/>
          </rPr>
          <t>Home:</t>
        </r>
        <r>
          <rPr>
            <sz val="9"/>
            <color indexed="81"/>
            <rFont val="Tahoma"/>
            <family val="2"/>
          </rPr>
          <t xml:space="preserve">
El 29/08 por pedido de Lu, se adelantó el pago de septiembre. $8.059.640,08</t>
        </r>
      </text>
    </comment>
    <comment ref="J195" authorId="1" shapeId="0" xr:uid="{C5D04821-3788-45EC-BE70-F48AF57DD37A}">
      <text>
        <r>
          <rPr>
            <b/>
            <sz val="9"/>
            <color indexed="81"/>
            <rFont val="Tahoma"/>
            <family val="2"/>
          </rPr>
          <t>Lucia:</t>
        </r>
        <r>
          <rPr>
            <sz val="9"/>
            <color indexed="81"/>
            <rFont val="Tahoma"/>
            <family val="2"/>
          </rPr>
          <t xml:space="preserve">
MUNDIAL</t>
        </r>
      </text>
    </comment>
    <comment ref="F226" authorId="3" shapeId="0" xr:uid="{EB19C67D-8C86-494A-87D7-1DBD1A761A26}">
      <text>
        <r>
          <rPr>
            <b/>
            <sz val="9"/>
            <color indexed="81"/>
            <rFont val="Tahoma"/>
            <family val="2"/>
          </rPr>
          <t>lcontrerass:</t>
        </r>
        <r>
          <rPr>
            <sz val="9"/>
            <color indexed="81"/>
            <rFont val="Tahoma"/>
            <family val="2"/>
          </rPr>
          <t xml:space="preserve">
muebles administracion</t>
        </r>
      </text>
    </comment>
    <comment ref="I227" authorId="1" shapeId="0" xr:uid="{10019D32-5A9C-4B54-8CE2-198F0F2BFA0F}">
      <text>
        <r>
          <rPr>
            <b/>
            <sz val="9"/>
            <color indexed="81"/>
            <rFont val="Tahoma"/>
            <family val="2"/>
          </rPr>
          <t>Lucia:</t>
        </r>
        <r>
          <rPr>
            <sz val="9"/>
            <color indexed="81"/>
            <rFont val="Tahoma"/>
            <family val="2"/>
          </rPr>
          <t xml:space="preserve">
tapacantos</t>
        </r>
      </text>
    </comment>
    <comment ref="I230" authorId="1" shapeId="0" xr:uid="{BEF72512-36A4-45D7-AF48-C071E4D6168D}">
      <text>
        <r>
          <rPr>
            <b/>
            <sz val="9"/>
            <color indexed="81"/>
            <rFont val="Tahoma"/>
            <family val="2"/>
          </rPr>
          <t>Lucia:</t>
        </r>
        <r>
          <rPr>
            <sz val="9"/>
            <color indexed="81"/>
            <rFont val="Tahoma"/>
            <family val="2"/>
          </rPr>
          <t xml:space="preserve">
estufa</t>
        </r>
      </text>
    </comment>
    <comment ref="K259" authorId="3" shapeId="0" xr:uid="{21D6061C-06E0-4F1D-92E1-E7C7B2A8CD35}">
      <text>
        <r>
          <rPr>
            <b/>
            <sz val="9"/>
            <color indexed="81"/>
            <rFont val="Tahoma"/>
            <family val="2"/>
          </rPr>
          <t>lcontrerass:</t>
        </r>
        <r>
          <rPr>
            <sz val="9"/>
            <color indexed="81"/>
            <rFont val="Tahoma"/>
            <family val="2"/>
          </rPr>
          <t xml:space="preserve">
seguro contrato alquiler PP</t>
        </r>
      </text>
    </comment>
    <comment ref="J266" authorId="1" shapeId="0" xr:uid="{41E5171D-7470-4F92-9D4A-1CA6AB685D22}">
      <text>
        <r>
          <rPr>
            <b/>
            <sz val="9"/>
            <color indexed="81"/>
            <rFont val="Tahoma"/>
            <family val="2"/>
          </rPr>
          <t>Lucia:</t>
        </r>
        <r>
          <rPr>
            <sz val="9"/>
            <color indexed="81"/>
            <rFont val="Tahoma"/>
            <family val="2"/>
          </rPr>
          <t xml:space="preserve">
$150,000 cambio de aceite cristian ledesma</t>
        </r>
      </text>
    </comment>
    <comment ref="J268" authorId="4" shapeId="0" xr:uid="{6637CB10-BECB-463E-9CF6-F1C70162DEF5}">
      <text>
        <r>
          <rPr>
            <b/>
            <sz val="9"/>
            <color indexed="81"/>
            <rFont val="Tahoma"/>
            <family val="2"/>
          </rPr>
          <t>Mariangeles Frias:</t>
        </r>
        <r>
          <rPr>
            <sz val="9"/>
            <color indexed="81"/>
            <rFont val="Tahoma"/>
            <family val="2"/>
          </rPr>
          <t xml:space="preserve">
ok diferencia, esta chequeada la suma</t>
        </r>
      </text>
    </comment>
    <comment ref="J269" authorId="4" shapeId="0" xr:uid="{F8CF7DA6-B9C4-4939-BEEB-C4D71DE97D15}">
      <text>
        <r>
          <rPr>
            <b/>
            <sz val="9"/>
            <color indexed="81"/>
            <rFont val="Tahoma"/>
            <family val="2"/>
          </rPr>
          <t>Mariangeles Frias:</t>
        </r>
        <r>
          <rPr>
            <sz val="9"/>
            <color indexed="81"/>
            <rFont val="Tahoma"/>
            <family val="2"/>
          </rPr>
          <t xml:space="preserve">
Sin compras en COTO</t>
        </r>
      </text>
    </comment>
  </commentList>
</comments>
</file>

<file path=xl/sharedStrings.xml><?xml version="1.0" encoding="utf-8"?>
<sst xmlns="http://schemas.openxmlformats.org/spreadsheetml/2006/main" count="2544" uniqueCount="784">
  <si>
    <t>SALDO DE CAJA AL DIA INICIO</t>
  </si>
  <si>
    <t>Banco MACRO cuenta</t>
  </si>
  <si>
    <t>Banco MACRO Inversiones</t>
  </si>
  <si>
    <t>Banco BBVA cuenta</t>
  </si>
  <si>
    <t>Banco BBVA Inversiones</t>
  </si>
  <si>
    <t>Banco GALICIA cuenta</t>
  </si>
  <si>
    <t>Banco BBVA plazo fijo</t>
  </si>
  <si>
    <t>Balanz</t>
  </si>
  <si>
    <t>SALDO TOTAL CAJA</t>
  </si>
  <si>
    <t>Fecha DDJJ</t>
  </si>
  <si>
    <t>Tipo factura</t>
  </si>
  <si>
    <t>Comprobante</t>
  </si>
  <si>
    <t>Razon Social</t>
  </si>
  <si>
    <t>Observaciones</t>
  </si>
  <si>
    <t>CUIT</t>
  </si>
  <si>
    <t>Gravado</t>
  </si>
  <si>
    <t>Perp. IIBB</t>
  </si>
  <si>
    <t>IVA</t>
  </si>
  <si>
    <t>Reten.</t>
  </si>
  <si>
    <t>Neto</t>
  </si>
  <si>
    <t>Real Cobrado</t>
  </si>
  <si>
    <t>%</t>
  </si>
  <si>
    <t>Método de cobro</t>
  </si>
  <si>
    <t xml:space="preserve">Fecha estimada de cobro </t>
  </si>
  <si>
    <t xml:space="preserve">Fecha real de cobro </t>
  </si>
  <si>
    <t>Banco</t>
  </si>
  <si>
    <t>Mes de cobro est</t>
  </si>
  <si>
    <t>Fecha de cobro est</t>
  </si>
  <si>
    <t>Cant días para pago</t>
  </si>
  <si>
    <t>Mes</t>
  </si>
  <si>
    <t>Obra Social del Personal Rural y Estibadores de la Republica Argentina</t>
  </si>
  <si>
    <t>Asociacion Civil Mater Dei</t>
  </si>
  <si>
    <t>Edesur S.A</t>
  </si>
  <si>
    <t>Edenred S.A</t>
  </si>
  <si>
    <t>Farmacity, S.A</t>
  </si>
  <si>
    <t>Oleiros S.A</t>
  </si>
  <si>
    <t>Aplicación Tecnologica S.A</t>
  </si>
  <si>
    <t>Car Security S.A</t>
  </si>
  <si>
    <t>Agua y Saneamientos Argentinos</t>
  </si>
  <si>
    <t>ADT Security S.A</t>
  </si>
  <si>
    <t>GMRA S. A. (Mirgor)</t>
  </si>
  <si>
    <t>EN BASE A LA FECHA DE FACTURACION</t>
  </si>
  <si>
    <t>(en blanco)</t>
  </si>
  <si>
    <t>Suma de Neto</t>
  </si>
  <si>
    <t>Etiquetas de columna</t>
  </si>
  <si>
    <t>Etiquetas de fila</t>
  </si>
  <si>
    <t>enero</t>
  </si>
  <si>
    <t>febrero</t>
  </si>
  <si>
    <t>marzo</t>
  </si>
  <si>
    <t>abril</t>
  </si>
  <si>
    <t>Total general</t>
  </si>
  <si>
    <t>SEGÚN MES DE COBRO</t>
  </si>
  <si>
    <t>(Varios elementos)</t>
  </si>
  <si>
    <t>mayo</t>
  </si>
  <si>
    <t>junio</t>
  </si>
  <si>
    <t>julio</t>
  </si>
  <si>
    <t>FECHA DE EMISION</t>
  </si>
  <si>
    <t>FECHA DE VENCIMIENTO</t>
  </si>
  <si>
    <t>MES</t>
  </si>
  <si>
    <t>CONCEPTO</t>
  </si>
  <si>
    <t>DÉBITO</t>
  </si>
  <si>
    <t>CRÉDITO</t>
  </si>
  <si>
    <t>SALDO</t>
  </si>
  <si>
    <t>FECHA DE DEPOSITO</t>
  </si>
  <si>
    <t>OBSERVACIONES</t>
  </si>
  <si>
    <t>Numero de cheque</t>
  </si>
  <si>
    <t>Columna1</t>
  </si>
  <si>
    <t>Periodo 2025.12</t>
  </si>
  <si>
    <t>FACTURA A</t>
  </si>
  <si>
    <t>0005-00001122</t>
  </si>
  <si>
    <t>30-54584853-4</t>
  </si>
  <si>
    <t>Echeq</t>
  </si>
  <si>
    <t>MACRO</t>
  </si>
  <si>
    <t>0005-00001123</t>
  </si>
  <si>
    <t>30-65511651-2</t>
  </si>
  <si>
    <t>Transferencia</t>
  </si>
  <si>
    <t>BBVA</t>
  </si>
  <si>
    <t>0003-00001407</t>
  </si>
  <si>
    <t>Inercikar S.A. (Car One)</t>
  </si>
  <si>
    <t>30-71698222-6</t>
  </si>
  <si>
    <t>0005-00001124</t>
  </si>
  <si>
    <t>Periodo 2026.01</t>
  </si>
  <si>
    <t>30-62360867-7</t>
  </si>
  <si>
    <t>0005-00001125</t>
  </si>
  <si>
    <t>Sitios Argentina SA</t>
  </si>
  <si>
    <t>Periodo 01/01/2026 al 31/12/2026</t>
  </si>
  <si>
    <t>0005-00001126</t>
  </si>
  <si>
    <t>30-69213874-7</t>
  </si>
  <si>
    <t>0003-00001408</t>
  </si>
  <si>
    <t>30-70808111-2</t>
  </si>
  <si>
    <t>0003-00001409</t>
  </si>
  <si>
    <t>30-71012482-1</t>
  </si>
  <si>
    <t>0003-00001410</t>
  </si>
  <si>
    <t>Brandtrack Group S.R.L</t>
  </si>
  <si>
    <t>30-71206356-0</t>
  </si>
  <si>
    <t>0003-00001411</t>
  </si>
  <si>
    <t>SIO Servicio Integral Odontologico S.A. (Dental Total)</t>
  </si>
  <si>
    <t>30-71869630-1</t>
  </si>
  <si>
    <t>0003-00001412</t>
  </si>
  <si>
    <t>Imágenes Sociedad Anonima (Leben)</t>
  </si>
  <si>
    <t>30-60131087-9</t>
  </si>
  <si>
    <t>0003-00001413</t>
  </si>
  <si>
    <t>30-69874417-7</t>
  </si>
  <si>
    <t>0003-00001414</t>
  </si>
  <si>
    <t>0003-00001415</t>
  </si>
  <si>
    <t>0003-00001416</t>
  </si>
  <si>
    <t>0003-00001417</t>
  </si>
  <si>
    <t>0003-00001418</t>
  </si>
  <si>
    <t>0003-00001419</t>
  </si>
  <si>
    <t>0003-00001420</t>
  </si>
  <si>
    <t>0003-00001421</t>
  </si>
  <si>
    <t>0003-00001422</t>
  </si>
  <si>
    <t>0005-00001127</t>
  </si>
  <si>
    <t>Periodo 2025.12 - OC 79291</t>
  </si>
  <si>
    <t>30-70956507-5</t>
  </si>
  <si>
    <t>0005-00001128</t>
  </si>
  <si>
    <t>Periodo 2025.12 - OC 58694</t>
  </si>
  <si>
    <t>30-65663161-5</t>
  </si>
  <si>
    <t>0005-00001129</t>
  </si>
  <si>
    <t>Periodo 2025.12 - OC 71020</t>
  </si>
  <si>
    <t>0005-00001130</t>
  </si>
  <si>
    <t>0005-00001131</t>
  </si>
  <si>
    <t>0005-00001132</t>
  </si>
  <si>
    <t>Payway S.A.U</t>
  </si>
  <si>
    <t>LAPOS Periodo 2025.12</t>
  </si>
  <si>
    <t>30-71766440-6</t>
  </si>
  <si>
    <t>0005-00001133</t>
  </si>
  <si>
    <t>Prisma Medios de Pago S.A</t>
  </si>
  <si>
    <t>CSV Periodo 2025.12</t>
  </si>
  <si>
    <t>30-59891004-5</t>
  </si>
  <si>
    <t>0005-00001134</t>
  </si>
  <si>
    <t>Periodo 2025.12 - OC 57738</t>
  </si>
  <si>
    <t>0005-00001135</t>
  </si>
  <si>
    <t>Diferencia de Precio Octubre 2025 - OC 71020</t>
  </si>
  <si>
    <t>0005-00001136</t>
  </si>
  <si>
    <t>Diferencia de Precio Septiembre 2025 - OC 71020</t>
  </si>
  <si>
    <t>0005-00001137</t>
  </si>
  <si>
    <t>Periodo 2025.11 - OC 71020</t>
  </si>
  <si>
    <t>0003-00001423</t>
  </si>
  <si>
    <t>Periodo 2025.12 - Servicio de jardineria</t>
  </si>
  <si>
    <t>NOTA DE CREDITO</t>
  </si>
  <si>
    <t>0003-00000161</t>
  </si>
  <si>
    <t>Anula parcialmente fc 1411</t>
  </si>
  <si>
    <t>N/A</t>
  </si>
  <si>
    <t>0003-00001424</t>
  </si>
  <si>
    <t>LAPOS Incentivo Noviembre 2025</t>
  </si>
  <si>
    <t>0005-00000137</t>
  </si>
  <si>
    <t>Anula fc 1110</t>
  </si>
  <si>
    <t>0005-00001138</t>
  </si>
  <si>
    <t>30-71562186-6</t>
  </si>
  <si>
    <t>0005-00000138</t>
  </si>
  <si>
    <t>Anula fc 1111</t>
  </si>
  <si>
    <t>0005-00000139</t>
  </si>
  <si>
    <t>Anula fc 1115</t>
  </si>
  <si>
    <t>0005-00000140</t>
  </si>
  <si>
    <t>0005-00001139</t>
  </si>
  <si>
    <t>0005-00001140</t>
  </si>
  <si>
    <t>0005-00001141</t>
  </si>
  <si>
    <t>Periodo 2026.02</t>
  </si>
  <si>
    <t>0003-00001425</t>
  </si>
  <si>
    <t>Periodo 2026.02 - Servicio de Recepcionista</t>
  </si>
  <si>
    <t>0003-00001426</t>
  </si>
  <si>
    <t>0003-00001427</t>
  </si>
  <si>
    <t>0003-00001428</t>
  </si>
  <si>
    <t>0003-00001429</t>
  </si>
  <si>
    <t>0003-00001430</t>
  </si>
  <si>
    <t>0003-00001431</t>
  </si>
  <si>
    <t>0003-00001432</t>
  </si>
  <si>
    <t>0003-00001433</t>
  </si>
  <si>
    <t>0003-00001434</t>
  </si>
  <si>
    <t>0005-00001142</t>
  </si>
  <si>
    <t>Periodo 2025.12 - OC 59061</t>
  </si>
  <si>
    <t>0005-00001143</t>
  </si>
  <si>
    <t>Periodo 2026.01 - OC 59061</t>
  </si>
  <si>
    <t>0005-00001144</t>
  </si>
  <si>
    <t>Periodo 2026.01 - OC 59070</t>
  </si>
  <si>
    <t>0005-00001145</t>
  </si>
  <si>
    <t>Periodo 2026.01 - OC 71020</t>
  </si>
  <si>
    <t>0005-00001146</t>
  </si>
  <si>
    <t>0005-00001147</t>
  </si>
  <si>
    <t>Periodo 2026.01 - OC 59075</t>
  </si>
  <si>
    <t>0005-00001148</t>
  </si>
  <si>
    <t>0005-00001149</t>
  </si>
  <si>
    <t>Periodo 2026.01 OC 79291</t>
  </si>
  <si>
    <t>0005-00001150</t>
  </si>
  <si>
    <t>CSV Periodo 2026.01</t>
  </si>
  <si>
    <t>0005-00001151</t>
  </si>
  <si>
    <t>0005-00001152</t>
  </si>
  <si>
    <t>0005-00001153</t>
  </si>
  <si>
    <t>0005-00001154</t>
  </si>
  <si>
    <t>Periodo 2026.03</t>
  </si>
  <si>
    <t>0003-00001435</t>
  </si>
  <si>
    <t>0003-00001436</t>
  </si>
  <si>
    <t>0003-00001437</t>
  </si>
  <si>
    <t>0003-00001438</t>
  </si>
  <si>
    <t>0003-00001439</t>
  </si>
  <si>
    <t>0003-00001440</t>
  </si>
  <si>
    <t>0003-00001441</t>
  </si>
  <si>
    <t>0003-00001442</t>
  </si>
  <si>
    <t>0003-00001443</t>
  </si>
  <si>
    <t>0005-00001155</t>
  </si>
  <si>
    <t>Periodo 2024.02 - OC 59061</t>
  </si>
  <si>
    <t>0005-00001156</t>
  </si>
  <si>
    <t>Periodo 2024.02 - OC 59368</t>
  </si>
  <si>
    <t>0005-00001157</t>
  </si>
  <si>
    <t>LAPOS Periodo 2026.01+ Incentivo Diciembre 2025</t>
  </si>
  <si>
    <t>0005-00001158</t>
  </si>
  <si>
    <t>LAPOS Periodo 2026.01</t>
  </si>
  <si>
    <t>0003-00001444</t>
  </si>
  <si>
    <t>0005-00001159</t>
  </si>
  <si>
    <t>0005-00001160</t>
  </si>
  <si>
    <t>Diferencia de Precio Agosto a Octubre 25 - OC 71020</t>
  </si>
  <si>
    <t>0005-00001161</t>
  </si>
  <si>
    <t>Diferencia de Precio Diciembre 2025 - OC 71020</t>
  </si>
  <si>
    <t>0005-00001162</t>
  </si>
  <si>
    <t>Diferencia de Precio Enero 2026 - OC 71020</t>
  </si>
  <si>
    <t>0005-00001163</t>
  </si>
  <si>
    <t>Periodo 2026.02 - OC 71020</t>
  </si>
  <si>
    <t>0005-00001164</t>
  </si>
  <si>
    <t>CSV Periodo 2026.02</t>
  </si>
  <si>
    <t>0005-00001165</t>
  </si>
  <si>
    <t>Periodo 2026.02 - OC 79291</t>
  </si>
  <si>
    <t>0005-00001166</t>
  </si>
  <si>
    <t>0005-00001167</t>
  </si>
  <si>
    <t>Periodo 2024.02 - OC 59404</t>
  </si>
  <si>
    <t>0005-00001168</t>
  </si>
  <si>
    <t>LAPOS Periodo 2026.02</t>
  </si>
  <si>
    <t>0005-00001169</t>
  </si>
  <si>
    <t>0003-00001445</t>
  </si>
  <si>
    <t>LAPOS Incentivo febrero 2026</t>
  </si>
  <si>
    <t>0005-00001170</t>
  </si>
  <si>
    <t>0005-00001171</t>
  </si>
  <si>
    <t>0005-00001172</t>
  </si>
  <si>
    <t>0005-00001173</t>
  </si>
  <si>
    <t>Periodo 2026.04</t>
  </si>
  <si>
    <t>0005-00001174</t>
  </si>
  <si>
    <t>Periodo 2024.03 - OC 59685</t>
  </si>
  <si>
    <t>0003-00001446</t>
  </si>
  <si>
    <t>0003-00001447</t>
  </si>
  <si>
    <t>0003-00001448</t>
  </si>
  <si>
    <t>0003-00001449</t>
  </si>
  <si>
    <t>0003-00001450</t>
  </si>
  <si>
    <t>0005-00001175</t>
  </si>
  <si>
    <t>Periodo 2024.03 - OC 59705</t>
  </si>
  <si>
    <t>0003-00001451</t>
  </si>
  <si>
    <t>0003-00001452</t>
  </si>
  <si>
    <t>0003-00001453</t>
  </si>
  <si>
    <t>0003-00001454</t>
  </si>
  <si>
    <t>0003-00000162</t>
  </si>
  <si>
    <t>Anula fc1454 por error en la factura</t>
  </si>
  <si>
    <t>0003-00001455</t>
  </si>
  <si>
    <t>0005-00001176</t>
  </si>
  <si>
    <t>CSV Periodo 2026.03</t>
  </si>
  <si>
    <t>0003-00001456</t>
  </si>
  <si>
    <t>0005-00001177</t>
  </si>
  <si>
    <t>Periodo 2024.03 - OC 59061</t>
  </si>
  <si>
    <t>0005-00001178</t>
  </si>
  <si>
    <t>Periodo 2026.03 - OC 79291</t>
  </si>
  <si>
    <t>0005-00001179</t>
  </si>
  <si>
    <t>0005-00001180</t>
  </si>
  <si>
    <t>LAPOS Periodo 2026.03</t>
  </si>
  <si>
    <t>0003-00001457</t>
  </si>
  <si>
    <t>LAPOS Incentivo marzo 2026</t>
  </si>
  <si>
    <t>0003-00001458</t>
  </si>
  <si>
    <t>Periodo 2026.04 - Diferencia de tarifa</t>
  </si>
  <si>
    <t>0005-00001181</t>
  </si>
  <si>
    <t>Periodo 2026.02 / 2026.03</t>
  </si>
  <si>
    <t>0003-00001459</t>
  </si>
  <si>
    <t>Servicio Jardineria</t>
  </si>
  <si>
    <t>0005-00001182</t>
  </si>
  <si>
    <t>0005-00001183</t>
  </si>
  <si>
    <t>0005-00001184</t>
  </si>
  <si>
    <t>Periodo 2026.05</t>
  </si>
  <si>
    <t>0005-00001185</t>
  </si>
  <si>
    <t>Periodo 2026.03 - OC 80764</t>
  </si>
  <si>
    <t>0005-00000141</t>
  </si>
  <si>
    <t xml:space="preserve">Anula fc 1185 por error en la factura </t>
  </si>
  <si>
    <t>0005-00001186</t>
  </si>
  <si>
    <t>Periodo 2024.04 - OC 60078</t>
  </si>
  <si>
    <t>0005-00001187</t>
  </si>
  <si>
    <t>0005-00001188</t>
  </si>
  <si>
    <t>Periodo 2026.04 - OC 80764</t>
  </si>
  <si>
    <t xml:space="preserve">GROCAL SA </t>
  </si>
  <si>
    <t>CMKS</t>
  </si>
  <si>
    <t>NORCANTEC S A</t>
  </si>
  <si>
    <t>RAFAC S.R.L</t>
  </si>
  <si>
    <t>ALFAMEDICA MEDICINA INTEGRAL SOCIEDAD DE RESPONSABILIDAD LIM</t>
  </si>
  <si>
    <t>GC GESTION COMPARTIDA S.A.</t>
  </si>
  <si>
    <t>DERECHOS PRIVADOS S.R.L.</t>
  </si>
  <si>
    <t>ASMEL</t>
  </si>
  <si>
    <t>CF INVERSIONES INMOBILIARIAS SOCIEDAD ANONIMA</t>
  </si>
  <si>
    <t>PALUDI, GONZALEZ, Y ASOCIADOS SOCIEDAD CIVIL</t>
  </si>
  <si>
    <t>GOMES DA CRUZ LEANDRO MARTIN</t>
  </si>
  <si>
    <t>EMERGENCIAS NORTE S.A.</t>
  </si>
  <si>
    <t>PLURA DATA S.R.L.</t>
  </si>
  <si>
    <t>MITROL SOCIEDAD RESPONSABILIDAD LIMITADA</t>
  </si>
  <si>
    <t>ZETECH</t>
  </si>
  <si>
    <t>GRIMALT JULIO CESAR</t>
  </si>
  <si>
    <t>C L P SRL</t>
  </si>
  <si>
    <t>THE EAGLE GROUP SRL</t>
  </si>
  <si>
    <t>TRANSPORTE BRIZUELA SRL</t>
  </si>
  <si>
    <t>PRISMA MEDIOS DE PAGO SAU</t>
  </si>
  <si>
    <t>0003-00001460</t>
  </si>
  <si>
    <t>0003-00001461</t>
  </si>
  <si>
    <t>0003-00001462</t>
  </si>
  <si>
    <t>0003-00000163</t>
  </si>
  <si>
    <t>Anula fc1462 por error en la factura</t>
  </si>
  <si>
    <t>0003-00001463</t>
  </si>
  <si>
    <t>0003-00001464</t>
  </si>
  <si>
    <t>0003-00001465</t>
  </si>
  <si>
    <t>0003-00001466</t>
  </si>
  <si>
    <t>0003-00001467</t>
  </si>
  <si>
    <t>0005-00001189</t>
  </si>
  <si>
    <t>Periodo 2026.04 - OC 79291</t>
  </si>
  <si>
    <t>Fecha real de cobro 1</t>
  </si>
  <si>
    <t>Fecha real de cobro 2</t>
  </si>
  <si>
    <t>INVOICE</t>
  </si>
  <si>
    <t>3102842268 (Liberty)</t>
  </si>
  <si>
    <t>3-102-842268</t>
  </si>
  <si>
    <t>CITI</t>
  </si>
  <si>
    <t>Riogas S.A</t>
  </si>
  <si>
    <t xml:space="preserve"> Periodo 2026.01</t>
  </si>
  <si>
    <t xml:space="preserve"> Periodo 2026.01 - gestion despacho</t>
  </si>
  <si>
    <t xml:space="preserve"> Periodo 2026.01 - gestion whastsapp</t>
  </si>
  <si>
    <t xml:space="preserve"> Periodo 2026.02</t>
  </si>
  <si>
    <t xml:space="preserve"> Periodo 2026.02 - gestion despacho</t>
  </si>
  <si>
    <t xml:space="preserve"> Periodo 2026.02 - gestion whastsapp</t>
  </si>
  <si>
    <t xml:space="preserve"> Periodo 2026.03</t>
  </si>
  <si>
    <t xml:space="preserve"> Periodo 2026.03 - gestion despacho</t>
  </si>
  <si>
    <t xml:space="preserve"> Periodo 2026.03 - gestion whastsapp</t>
  </si>
  <si>
    <t xml:space="preserve"> Periodo 2026.04</t>
  </si>
  <si>
    <t xml:space="preserve"> Periodo 2026.04 - gestion despacho</t>
  </si>
  <si>
    <t xml:space="preserve"> Periodo 2026.04 - gestion whastsapp</t>
  </si>
  <si>
    <t>0005-00001190</t>
  </si>
  <si>
    <t>Periodo 2024.04 - OC 59061</t>
  </si>
  <si>
    <t>0005-00001191</t>
  </si>
  <si>
    <t>Periodo 2024.04 - OC 60122</t>
  </si>
  <si>
    <t>0005-00001192</t>
  </si>
  <si>
    <t>0005-00001193</t>
  </si>
  <si>
    <t>CSV Periodo 2026.04</t>
  </si>
  <si>
    <t>0005-00001194</t>
  </si>
  <si>
    <t>Periodo 2024.04 - OC 60133</t>
  </si>
  <si>
    <t>0001-00000078</t>
  </si>
  <si>
    <t>Mera Solutions SA</t>
  </si>
  <si>
    <t>Servicios por gestiones comerciales</t>
  </si>
  <si>
    <t>30-71421066-8</t>
  </si>
  <si>
    <t>GALICIA</t>
  </si>
  <si>
    <t>0001-00000079</t>
  </si>
  <si>
    <t>0001-00000080</t>
  </si>
  <si>
    <t>0003-00000003</t>
  </si>
  <si>
    <t>Servicio por gestiones administrativas</t>
  </si>
  <si>
    <t>0005-00000001</t>
  </si>
  <si>
    <t>0003-00000004</t>
  </si>
  <si>
    <t>0003-00000005</t>
  </si>
  <si>
    <t>0003-00000006</t>
  </si>
  <si>
    <t>0003-00000007</t>
  </si>
  <si>
    <t>AZO S.A</t>
  </si>
  <si>
    <t>30/4/2026 - 20/5/2026</t>
  </si>
  <si>
    <t>Banco HARDAN</t>
  </si>
  <si>
    <t>Inflación estimada</t>
  </si>
  <si>
    <t>Tipo de cambio (oficial)</t>
  </si>
  <si>
    <t>AGRUPACIÓN</t>
  </si>
  <si>
    <t>PROVEEDOR</t>
  </si>
  <si>
    <t>SERVICIO</t>
  </si>
  <si>
    <t>IMPUESTOS</t>
  </si>
  <si>
    <t>INGRESOS BRUTOS (1%)</t>
  </si>
  <si>
    <t>TASAS MUNICIAPLES (0.6%)</t>
  </si>
  <si>
    <t>TOTAL IMPUESTOS</t>
  </si>
  <si>
    <t>TELECOMUNICACIONES</t>
  </si>
  <si>
    <t>TELECOM</t>
  </si>
  <si>
    <t>Chips Personal</t>
  </si>
  <si>
    <t>Flow San Lorenzo</t>
  </si>
  <si>
    <t>AMX ARGENTINA, S.A</t>
  </si>
  <si>
    <t>Chips Claro</t>
  </si>
  <si>
    <t>TELMEX ARGENTINA SA</t>
  </si>
  <si>
    <t>Enlace internet 300 megas San Lorenzo</t>
  </si>
  <si>
    <t>Enlace punto a punto Edesur</t>
  </si>
  <si>
    <t>Enlace punto a punto MERA</t>
  </si>
  <si>
    <t>Enlace internet 100 megas Parque Patricios</t>
  </si>
  <si>
    <t>IPLAN</t>
  </si>
  <si>
    <t>Google Workspace + Microsoft + Servicio DNS + Trafico mayorista</t>
  </si>
  <si>
    <t>Tráfico mayorista</t>
  </si>
  <si>
    <t>Cargos por llamada 0800</t>
  </si>
  <si>
    <t>Consumo telefonía 0800 LDN desde TB</t>
  </si>
  <si>
    <t>Microsoft 365 Adicionales</t>
  </si>
  <si>
    <t>MOVISTAR</t>
  </si>
  <si>
    <t>Wifi</t>
  </si>
  <si>
    <t>Chips</t>
  </si>
  <si>
    <t>Metrotel - diferencias de cambio</t>
  </si>
  <si>
    <t>Dif de cambio</t>
  </si>
  <si>
    <t>Metrotel (C P S Telecomunicacioens)</t>
  </si>
  <si>
    <t>Internet Parque Patricios - 100 MB</t>
  </si>
  <si>
    <t>Telefonía</t>
  </si>
  <si>
    <t>Internet San Lorenzo - 500 MB</t>
  </si>
  <si>
    <t>LICENCIAS CENTRALES TELEFONICAS</t>
  </si>
  <si>
    <t>MITROL</t>
  </si>
  <si>
    <t>Licencias Mensuales</t>
  </si>
  <si>
    <t xml:space="preserve">CyT </t>
  </si>
  <si>
    <t>Orion</t>
  </si>
  <si>
    <t>MATER DEI</t>
  </si>
  <si>
    <t>DENTAL TOTAL</t>
  </si>
  <si>
    <t>TOTAL LICENCIAS CENTRALES TELEFONICAS</t>
  </si>
  <si>
    <t>GASTOS DE SISTEMAS</t>
  </si>
  <si>
    <t>TANGO</t>
  </si>
  <si>
    <t>Asesoria Mensual</t>
  </si>
  <si>
    <t>PLURA DATA SRL</t>
  </si>
  <si>
    <t>Omnia</t>
  </si>
  <si>
    <t>VARIOS</t>
  </si>
  <si>
    <t>Reparacion de equipos</t>
  </si>
  <si>
    <t>ALTA DISPONIBILIDAD</t>
  </si>
  <si>
    <t>RAFAC</t>
  </si>
  <si>
    <t>Hora soporte nivel 3</t>
  </si>
  <si>
    <t>ACEVEDO GUSTAVO Y GROISMAN GABRIEL</t>
  </si>
  <si>
    <t>access point</t>
  </si>
  <si>
    <t>Vinchas</t>
  </si>
  <si>
    <t>Mouse</t>
  </si>
  <si>
    <t>MERCADO LIBRE</t>
  </si>
  <si>
    <t>Compras varias</t>
  </si>
  <si>
    <t>MERPAGO</t>
  </si>
  <si>
    <t>WIROOSCLOUDHO</t>
  </si>
  <si>
    <t>ONLINE COMPUTERS</t>
  </si>
  <si>
    <t>Diagnostico equipo</t>
  </si>
  <si>
    <t>PPRO *Adobe</t>
  </si>
  <si>
    <t>visa galicia</t>
  </si>
  <si>
    <t>MICROSOFTÑG05008 79200005 USD</t>
  </si>
  <si>
    <t>CapCut</t>
  </si>
  <si>
    <t>Placas de red</t>
  </si>
  <si>
    <t>BARONE LEANDRO</t>
  </si>
  <si>
    <t>Canva</t>
  </si>
  <si>
    <t>BALIAN PABLO ARIEL</t>
  </si>
  <si>
    <t>Mouse - MOUSEPAD</t>
  </si>
  <si>
    <t>Memoria RAM 8</t>
  </si>
  <si>
    <t>Asitencia técnica virtual para UPS de 04 a 11 kVA</t>
  </si>
  <si>
    <t>PSU Intel DSP-750XB</t>
  </si>
  <si>
    <t>Mouse + teclado</t>
  </si>
  <si>
    <t>TVs salas de capacitación</t>
  </si>
  <si>
    <t xml:space="preserve">Google Cloud </t>
  </si>
  <si>
    <t>Gastos de sistemas - Tarjeta Galicia</t>
  </si>
  <si>
    <t>NIC ARGENTINA</t>
  </si>
  <si>
    <t xml:space="preserve">Dominios de mails - Tarjeta Galicia </t>
  </si>
  <si>
    <t>Retellai</t>
  </si>
  <si>
    <t xml:space="preserve">Gastos de sistemas - Tarjeta Macro </t>
  </si>
  <si>
    <t>REDNET CORP</t>
  </si>
  <si>
    <t xml:space="preserve">Equipos de computacion - Ficha Plug Vention Idcr0-100 </t>
  </si>
  <si>
    <t>JOSE PAULO CANO (ELECTRONICA IT)</t>
  </si>
  <si>
    <t xml:space="preserve">Equipos de computacion - Fuentes de alimentacion </t>
  </si>
  <si>
    <t>Formanova SRL</t>
  </si>
  <si>
    <t xml:space="preserve">Compra de sillas para oficinas </t>
  </si>
  <si>
    <t>Reparación de molinetes</t>
  </si>
  <si>
    <t>Transmisor Hdmi Inalámbrico</t>
  </si>
  <si>
    <t>TOTAL GASTOS DE SISTEMAS</t>
  </si>
  <si>
    <t>ALQUILERES</t>
  </si>
  <si>
    <t>CF INVERSIONES</t>
  </si>
  <si>
    <t>Edificio San Lorenzo</t>
  </si>
  <si>
    <t>Expensas Olivos</t>
  </si>
  <si>
    <t>Edicio Parque Patricios - 944 mts2</t>
  </si>
  <si>
    <t>Edicio Parque Patricios - energia electrica</t>
  </si>
  <si>
    <t>TOTAL ALQUILERES</t>
  </si>
  <si>
    <t>HONORARIOS PROFESIONALES</t>
  </si>
  <si>
    <t>Estudio juridico</t>
  </si>
  <si>
    <t>PGK CONSULTORES</t>
  </si>
  <si>
    <t>Outsourcing mesual, consultoría</t>
  </si>
  <si>
    <t>Impuestos anuales</t>
  </si>
  <si>
    <t>Outsourcing CCSS + Sindicatos</t>
  </si>
  <si>
    <t>Ganancias cuarta categoría</t>
  </si>
  <si>
    <t>Libros</t>
  </si>
  <si>
    <t>Gastos Administrativos y de cadeteria asociados a motomensajeria</t>
  </si>
  <si>
    <t>Presentación de rectificativas</t>
  </si>
  <si>
    <t>ESTUDIO LOZZI &amp; ASOC.</t>
  </si>
  <si>
    <t>Estudio contable</t>
  </si>
  <si>
    <t>ESTUDIO EEUU</t>
  </si>
  <si>
    <t>Honorarios anuales</t>
  </si>
  <si>
    <t>RODRIGUEZ DE LA CAMA MARIA TERESA</t>
  </si>
  <si>
    <t>Estudio Juridico (hyland)</t>
  </si>
  <si>
    <t>DINAMICA COMERCIAL SRL</t>
  </si>
  <si>
    <t>Copiado / Rubrica de libros</t>
  </si>
  <si>
    <t>ARTURO RAFAEL HORTIGUERA</t>
  </si>
  <si>
    <t>Escribania</t>
  </si>
  <si>
    <t>DHR &amp; ASOCIADOS S.A.</t>
  </si>
  <si>
    <t>GERVASI MAXIMILIANO</t>
  </si>
  <si>
    <t>Asesoria</t>
  </si>
  <si>
    <t>Capacitacion CCSS</t>
  </si>
  <si>
    <t>TOTAL HONORARIOS PROFESIONALES</t>
  </si>
  <si>
    <t>GASTOS JUDICIALES</t>
  </si>
  <si>
    <t>RECTIFICATIVA</t>
  </si>
  <si>
    <t>CAR ONE</t>
  </si>
  <si>
    <t>EDENRED</t>
  </si>
  <si>
    <t>AYSA</t>
  </si>
  <si>
    <t>FARMACITY</t>
  </si>
  <si>
    <t>EDESUR</t>
  </si>
  <si>
    <t>ADT</t>
  </si>
  <si>
    <t>LO JACK</t>
  </si>
  <si>
    <t>PRISMA</t>
  </si>
  <si>
    <t>HONORARIOS ABOGADOS PRISMA</t>
  </si>
  <si>
    <t>LOPEZ DAIANA SOLEDAD</t>
  </si>
  <si>
    <t>ARISMENDI FERNANDO GABRIEL</t>
  </si>
  <si>
    <t>PRISMA CSV</t>
  </si>
  <si>
    <t>ABALSAMO CANDELA </t>
  </si>
  <si>
    <t> INSAURRALDE MONICA KARINA NOEMI</t>
  </si>
  <si>
    <t>GAUNA IARA CANDELA</t>
  </si>
  <si>
    <t>RESLER, ALDANA DORA</t>
  </si>
  <si>
    <t>FERNANDEZ QUIROZ ANDRES </t>
  </si>
  <si>
    <t> CALONGA PAOLA</t>
  </si>
  <si>
    <t>CRISTANCHO PEÑA, JESIKA PAOLA </t>
  </si>
  <si>
    <t>BRIZUELA CINTHYA KARINA</t>
  </si>
  <si>
    <t>MERLO CAMILA BELEN</t>
  </si>
  <si>
    <t>Aysa</t>
  </si>
  <si>
    <t>MAIDANA MENDOZA MALENA MELISA</t>
  </si>
  <si>
    <t>CSV</t>
  </si>
  <si>
    <t>ANDRADA FRANCISCO</t>
  </si>
  <si>
    <t>SANCHEZ MARIA ORIANA AYELEN</t>
  </si>
  <si>
    <t>FIESTAS CHAVEZ MATIAS</t>
  </si>
  <si>
    <t>JUNCOS MILAGROS AYELEN</t>
  </si>
  <si>
    <t>SILVEYRA BONILLA, WANDA</t>
  </si>
  <si>
    <t>CORTES MARIA MARIANELA</t>
  </si>
  <si>
    <t>YAMILA BUSTOS</t>
  </si>
  <si>
    <t>MUÑOZ CLAVIJO</t>
  </si>
  <si>
    <t>Gastos administrativos osprera</t>
  </si>
  <si>
    <t>CORREO ARGENTINO</t>
  </si>
  <si>
    <t>Cartas Documento</t>
  </si>
  <si>
    <t>TOTAL GASTOS JUDICIALES</t>
  </si>
  <si>
    <t>SERVICIOS</t>
  </si>
  <si>
    <t>Agua</t>
  </si>
  <si>
    <t>EDENOR</t>
  </si>
  <si>
    <t>Luz</t>
  </si>
  <si>
    <t>TOTAL SERVICIOS</t>
  </si>
  <si>
    <t>GASTOS FIJOS DEL PERSONAL</t>
  </si>
  <si>
    <t>MEDICUS</t>
  </si>
  <si>
    <t>Prepaga staff</t>
  </si>
  <si>
    <t>SWISS MEDICAL</t>
  </si>
  <si>
    <t xml:space="preserve">1385388-2 ZULEMA FARIÑA - Madre Ricardo </t>
  </si>
  <si>
    <t xml:space="preserve">1439629-5 MARTINA HARISTEGUY - Sobrina Martin </t>
  </si>
  <si>
    <t>OSDE</t>
  </si>
  <si>
    <t>MEDIFE</t>
  </si>
  <si>
    <t>TOTAL GASTOS FIJOS DEL PERSONAL</t>
  </si>
  <si>
    <t>GASTOS DE REPRESENTACION</t>
  </si>
  <si>
    <t xml:space="preserve">CONFITERIA VICENTE LOPEZ </t>
  </si>
  <si>
    <t xml:space="preserve">Varios </t>
  </si>
  <si>
    <t>Reuniones externas clientes</t>
  </si>
  <si>
    <t>Viaticos del personal</t>
  </si>
  <si>
    <t>Sponsoreo CRIC Digital</t>
  </si>
  <si>
    <t>Rolon felix</t>
  </si>
  <si>
    <t>Cena anual Mater Dei</t>
  </si>
  <si>
    <t>Bolsas regalos clientes</t>
  </si>
  <si>
    <t>Regalos clientes</t>
  </si>
  <si>
    <t>Visita leben salud</t>
  </si>
  <si>
    <t>Combi edesur</t>
  </si>
  <si>
    <t>Licitaciones</t>
  </si>
  <si>
    <t>TOTAL GASTOS DE REPRESENTACION</t>
  </si>
  <si>
    <t>GASTOS RRHH</t>
  </si>
  <si>
    <t>Incentivos asesores - mensual</t>
  </si>
  <si>
    <t>Eventos fechas especiales</t>
  </si>
  <si>
    <t>Solicitudes Buffet para incentivos</t>
  </si>
  <si>
    <t>Buffet directorio</t>
  </si>
  <si>
    <t>Rolon Felix</t>
  </si>
  <si>
    <t>Medialunas para incentivos/campañas</t>
  </si>
  <si>
    <t>Incentivos capacitación</t>
  </si>
  <si>
    <t>Cumpleaños operadores</t>
  </si>
  <si>
    <t>Librería / papeleria</t>
  </si>
  <si>
    <t>NORCANTEC SA</t>
  </si>
  <si>
    <t>Leasing impresora</t>
  </si>
  <si>
    <t>ASMEL, S.A</t>
  </si>
  <si>
    <t>Medicina laboral olivos</t>
  </si>
  <si>
    <t>Medicina laboral CABA</t>
  </si>
  <si>
    <t>Servicio de ambulancia</t>
  </si>
  <si>
    <t>Recibo de Sueldos Digital</t>
  </si>
  <si>
    <t>FACEBOOK</t>
  </si>
  <si>
    <t>Instagram</t>
  </si>
  <si>
    <t>Google</t>
  </si>
  <si>
    <t>Linkedin</t>
  </si>
  <si>
    <t>Zonajobs / Bumeran</t>
  </si>
  <si>
    <t>Diseño de redes</t>
  </si>
  <si>
    <t>Jarras salas de reuniones</t>
  </si>
  <si>
    <t xml:space="preserve">Capcut </t>
  </si>
  <si>
    <t>Capcut - Tarjeta Galicia</t>
  </si>
  <si>
    <t>NAPOLES</t>
  </si>
  <si>
    <t xml:space="preserve">Incentivos colocacion de Pisos empleados </t>
  </si>
  <si>
    <t>Credenciales / portacredenciales</t>
  </si>
  <si>
    <t>TOTAL GASTOS RRHH</t>
  </si>
  <si>
    <t>GASTOS DE MANTENIMIENTO</t>
  </si>
  <si>
    <t>Seguridad e higiene</t>
  </si>
  <si>
    <t>Productos de maestranza</t>
  </si>
  <si>
    <t>Easy</t>
  </si>
  <si>
    <t>Biagi Jorge Gabriel</t>
  </si>
  <si>
    <t>Jardineria</t>
  </si>
  <si>
    <t>Camion de residuos</t>
  </si>
  <si>
    <t>Materiales oficina</t>
  </si>
  <si>
    <t>Maida Silvio Antonio</t>
  </si>
  <si>
    <t>Mantenimientos vrios</t>
  </si>
  <si>
    <t>Varios</t>
  </si>
  <si>
    <t>Lampara led para techos</t>
  </si>
  <si>
    <t xml:space="preserve">Mantenimiento vehiculos </t>
  </si>
  <si>
    <t xml:space="preserve">Ventiladores </t>
  </si>
  <si>
    <t>Uniformes</t>
  </si>
  <si>
    <t>KLEN WALTER - CERRAJERIA MAYO</t>
  </si>
  <si>
    <t>Apertura y reparacion Caja fuerte</t>
  </si>
  <si>
    <t>GODOY MARIA AGUSTINA</t>
  </si>
  <si>
    <t>Productos de maestranza - gastos limpieza</t>
  </si>
  <si>
    <t>Sumadera Sociedad Anonima</t>
  </si>
  <si>
    <t xml:space="preserve">Pino elliotis cepillado / Machimbre pino </t>
  </si>
  <si>
    <t>NORGOMA</t>
  </si>
  <si>
    <t>Mantenimientos varios - Tj BBVA</t>
  </si>
  <si>
    <t>Bulonera Martinez</t>
  </si>
  <si>
    <t>JOSE GARCIA VALENCIA E HIJOS S A</t>
  </si>
  <si>
    <t>MULTIMATERIALES S.R.L.</t>
  </si>
  <si>
    <t>COTO</t>
  </si>
  <si>
    <t>TUBOCLOCK SRL</t>
  </si>
  <si>
    <t>PINTURERIAS MAFER S.A</t>
  </si>
  <si>
    <t>PINTURERIA MP</t>
  </si>
  <si>
    <t xml:space="preserve">PIRAGINE HNOS </t>
  </si>
  <si>
    <t>Gutierrez Cussi Doyel (SYSPORT)</t>
  </si>
  <si>
    <t>Alcohol Isopropilico Delta (gastos limpieza)</t>
  </si>
  <si>
    <t>Pastorino Luca Nicolas (Saneamiento ambiental)</t>
  </si>
  <si>
    <t xml:space="preserve">Fumigacion (DESRATIZACIÓN) </t>
  </si>
  <si>
    <t>Volquete</t>
  </si>
  <si>
    <t>TOTAL GASTOS DE MANTENIMIENTO</t>
  </si>
  <si>
    <t>GASTOS DE SEGUROS</t>
  </si>
  <si>
    <t>VEHICULOS</t>
  </si>
  <si>
    <t>COMPAÑÍA</t>
  </si>
  <si>
    <t>TOTAL GASTOS DE SEGUROS</t>
  </si>
  <si>
    <t>OTROS EGRESOS</t>
  </si>
  <si>
    <t>Combustibles</t>
  </si>
  <si>
    <t>Oleiros SA</t>
  </si>
  <si>
    <t>Strix</t>
  </si>
  <si>
    <t>Mantenimiento de Vehiculo / VTV</t>
  </si>
  <si>
    <t>TARJETA BBVA</t>
  </si>
  <si>
    <t>AUTOPISTAS URBANAS/AUTOPISTAS DEL OESTE</t>
  </si>
  <si>
    <t>TARJETA GALICIA</t>
  </si>
  <si>
    <t>AUTOPISTAS URBANAS/AUTOPISTAS DEL SOL</t>
  </si>
  <si>
    <t>Coto</t>
  </si>
  <si>
    <t>Makro</t>
  </si>
  <si>
    <t xml:space="preserve">Clinica Veterinaria Integral </t>
  </si>
  <si>
    <t xml:space="preserve">Servicios al personal - compra medicamentos </t>
  </si>
  <si>
    <t>Comisiones Tarjetas</t>
  </si>
  <si>
    <t>Bancos varios</t>
  </si>
  <si>
    <t>Gastos Bancarios (lo que imputa en Gasto- impuestos no se suman aca, se toman en DJ)</t>
  </si>
  <si>
    <t>Intereses Bancarios  (lo que imputa en Gasto- impuestos no se suman aca, se toman en DJ)</t>
  </si>
  <si>
    <t>Comisiones Tarjetas (lo que imputa en Gasto- impuestos no se suman aca, se toman en DJ)</t>
  </si>
  <si>
    <t>TOTAL OTROS EGRESOS</t>
  </si>
  <si>
    <t>GASTOS NO SOPORTADOS</t>
  </si>
  <si>
    <t>INVERSIONES</t>
  </si>
  <si>
    <t>Piso segundo piso</t>
  </si>
  <si>
    <t>Solution box</t>
  </si>
  <si>
    <t>Dell R740 Gold 6138 40C/80T 512gb</t>
  </si>
  <si>
    <t>TOTAL INVERSIONES</t>
  </si>
  <si>
    <t>STAFF</t>
  </si>
  <si>
    <t>Cantidad</t>
  </si>
  <si>
    <t>Recurso Proporcional</t>
  </si>
  <si>
    <t>Sueldo neto</t>
  </si>
  <si>
    <t>Cargas Sociales</t>
  </si>
  <si>
    <t>Beneficio CCSS</t>
  </si>
  <si>
    <t>Sindicatos</t>
  </si>
  <si>
    <t>Costo total</t>
  </si>
  <si>
    <t>Visa</t>
  </si>
  <si>
    <t>Edesur</t>
  </si>
  <si>
    <t>Lo Jack</t>
  </si>
  <si>
    <t>Edenred</t>
  </si>
  <si>
    <t>Mater Dei</t>
  </si>
  <si>
    <t>Farmacity</t>
  </si>
  <si>
    <t>Dental Total</t>
  </si>
  <si>
    <t>PORTABILIDAD</t>
  </si>
  <si>
    <t>Limbo</t>
  </si>
  <si>
    <t>Leben Salud</t>
  </si>
  <si>
    <t>Car One</t>
  </si>
  <si>
    <t>Mirgor</t>
  </si>
  <si>
    <t>RIOGAS</t>
  </si>
  <si>
    <t>PROJUBILAR</t>
  </si>
  <si>
    <t>BANDTRACK</t>
  </si>
  <si>
    <t>LIBERTY</t>
  </si>
  <si>
    <t>OSPRERA</t>
  </si>
  <si>
    <t>OPERACIONES</t>
  </si>
  <si>
    <t>Vend B 30 hs</t>
  </si>
  <si>
    <t>Sueldo básico</t>
  </si>
  <si>
    <t>Incremento no remunerativo - Acuerdo abril 2026</t>
  </si>
  <si>
    <t>Recomposición No Remunerativo - Acuerdo Abril 2026</t>
  </si>
  <si>
    <t xml:space="preserve">Vend B 26 hs </t>
  </si>
  <si>
    <t>Vend B 20 hs</t>
  </si>
  <si>
    <t>ADM B 30</t>
  </si>
  <si>
    <t>Anfitriones ADM A 30</t>
  </si>
  <si>
    <t>0005-00001195</t>
  </si>
  <si>
    <t>LAPOS Periodo 2026.04</t>
  </si>
  <si>
    <t>0003-00001468</t>
  </si>
  <si>
    <t>0003-00001469</t>
  </si>
  <si>
    <t>Banco LxJ GALICIA</t>
  </si>
  <si>
    <t>Banco LxJ BBVA</t>
  </si>
  <si>
    <t>0003-00000008</t>
  </si>
  <si>
    <t>GRUPO DEMCA S.R.L.</t>
  </si>
  <si>
    <t>Mercadopago</t>
  </si>
  <si>
    <t>0005-00000002</t>
  </si>
  <si>
    <t>0005-00001196</t>
  </si>
  <si>
    <t>0005-00001197</t>
  </si>
  <si>
    <t>0005-00001198</t>
  </si>
  <si>
    <t>Periodo 2026.06</t>
  </si>
  <si>
    <t>0003-00001470</t>
  </si>
  <si>
    <t>0003-00001471</t>
  </si>
  <si>
    <t>0003-00001472</t>
  </si>
  <si>
    <t>0003-00001473</t>
  </si>
  <si>
    <t>0003-00001474</t>
  </si>
  <si>
    <t>0003-00001475</t>
  </si>
  <si>
    <t>0003-00001476</t>
  </si>
  <si>
    <t>LAPOS Diferecia de tarifa ABRIL</t>
  </si>
  <si>
    <t xml:space="preserve"> Periodo 2026.05</t>
  </si>
  <si>
    <t xml:space="preserve"> Periodo 2026.05 - gestion despacho</t>
  </si>
  <si>
    <t xml:space="preserve"> Periodo 2026.05 - gestion whastsapp</t>
  </si>
  <si>
    <t>0005-00001199</t>
  </si>
  <si>
    <t>Periodo 2026.05 - OC 80668</t>
  </si>
  <si>
    <t>0005-00001200</t>
  </si>
  <si>
    <t>Periodo 2026.05 - OC 79291</t>
  </si>
  <si>
    <t>0003-00000009</t>
  </si>
  <si>
    <t>0005-00001201</t>
  </si>
  <si>
    <t>0003-00000010</t>
  </si>
  <si>
    <t>0003-00000011</t>
  </si>
  <si>
    <t>0005-00001202</t>
  </si>
  <si>
    <t>CSV Periodo 2026.05</t>
  </si>
  <si>
    <t>0005-00001203</t>
  </si>
  <si>
    <t>Periodo 2024.05 - OC 60547</t>
  </si>
  <si>
    <t>0005-00001204</t>
  </si>
  <si>
    <t>Periodo 2024.05 - OC 60133</t>
  </si>
  <si>
    <t>0005-00001205</t>
  </si>
  <si>
    <t>LAPOS Periodo 2026.05</t>
  </si>
  <si>
    <t>0005-00001206</t>
  </si>
  <si>
    <t>Periodo 2024.05 - OC 60502</t>
  </si>
  <si>
    <t>TELCOM BUSINESS SOLUTION</t>
  </si>
  <si>
    <t>TP LINK (para los voice bot)</t>
  </si>
  <si>
    <t>Alesio Maria Verronica</t>
  </si>
  <si>
    <t>Cargador Para Asus X515e X515ep X515ea 19v 2.37a 45w - Tj Galicia</t>
  </si>
  <si>
    <t>Claude.AI Subscr</t>
  </si>
  <si>
    <t>Sistema utilizado por Administracion - Tarjeta Galicia</t>
  </si>
  <si>
    <t>Anthropic</t>
  </si>
  <si>
    <t>Telcom Business Solution</t>
  </si>
  <si>
    <t xml:space="preserve">RECALDE CUESTAS ADOLFO </t>
  </si>
  <si>
    <t>Servicios de informacion de licitaciones de publicas de interes.(mayo, junio y julio)</t>
  </si>
  <si>
    <t>VISA TLMK</t>
  </si>
  <si>
    <t>MABEL LUCIA IZAGUIRRE CASTAÑEDA</t>
  </si>
  <si>
    <t>VISA CSV</t>
  </si>
  <si>
    <t>LEZAMETA ANGELICA MARIA</t>
  </si>
  <si>
    <t>LOPEZ SERVIN, DANIELA</t>
  </si>
  <si>
    <t>Honorarios c/ Factura + Cuota capital  sin fc</t>
  </si>
  <si>
    <t>LEZCANO, FABIAN ANDRES</t>
  </si>
  <si>
    <t>LAFUENTE AGUSTINA MICAELA</t>
  </si>
  <si>
    <t>DE PIETRO FIORELLA</t>
  </si>
  <si>
    <t> BENITEZ, CAMILA MILAGROS</t>
  </si>
  <si>
    <t>THAMIER FABIAN ARSENIO A</t>
  </si>
  <si>
    <t xml:space="preserve">Gastos indumentaria- anfitriones </t>
  </si>
  <si>
    <t>PLAKA NORTE S.R.L</t>
  </si>
  <si>
    <t>Mantenimientos varios - madera</t>
  </si>
  <si>
    <t>SUPERFOTO S.R.L</t>
  </si>
  <si>
    <t>Estufa para oficina Gerencia admin</t>
  </si>
  <si>
    <t>NorteServ</t>
  </si>
  <si>
    <t>Plan canje bomba Rowa press 20</t>
  </si>
  <si>
    <t>SUDCRON S.H</t>
  </si>
  <si>
    <t>Reparacion de molinetes, puertas y actualizacion de Software</t>
  </si>
  <si>
    <t>Filtro aspiradora</t>
  </si>
  <si>
    <t>Hidrolavadora</t>
  </si>
  <si>
    <t>CLIENTES</t>
  </si>
  <si>
    <t>12/6/2026 / 19/06/2026</t>
  </si>
  <si>
    <t>0005-00001207</t>
  </si>
  <si>
    <t>Retroactivos Dic 25, Ene y Feb 26 - OC 71020</t>
  </si>
  <si>
    <t>0003-00001477</t>
  </si>
  <si>
    <t>0003-00001478</t>
  </si>
  <si>
    <t>0005-00001208</t>
  </si>
  <si>
    <t>0005-00000142</t>
  </si>
  <si>
    <t>Anula fc 1207</t>
  </si>
  <si>
    <t>19/6/2026 / 02/07/2026</t>
  </si>
  <si>
    <t>0005-00001209</t>
  </si>
  <si>
    <t>0003-00001479</t>
  </si>
  <si>
    <t>Retroactivos Marzo y abril 2026</t>
  </si>
  <si>
    <t>0003-00000164</t>
  </si>
  <si>
    <t>Anula fc 1479</t>
  </si>
  <si>
    <t>0003-00001480</t>
  </si>
  <si>
    <t>0005-00000143</t>
  </si>
  <si>
    <t>Anula fc 1209</t>
  </si>
  <si>
    <t>0005-00001210</t>
  </si>
  <si>
    <t xml:space="preserve"> Periodo 2026.06</t>
  </si>
  <si>
    <t xml:space="preserve"> Periodo 2026.06 - gestion despacho</t>
  </si>
  <si>
    <t xml:space="preserve"> Periodo 2026.06 - gestion whastsapp</t>
  </si>
  <si>
    <t>0003-00000012</t>
  </si>
  <si>
    <t>Banco LxJ GALICIA Inversiones</t>
  </si>
  <si>
    <t>0003-00001481</t>
  </si>
  <si>
    <t>0003-00001482</t>
  </si>
  <si>
    <t>0005-00001211</t>
  </si>
  <si>
    <t>Periodo 2024.06 - OC 60133</t>
  </si>
  <si>
    <t>agosto</t>
  </si>
  <si>
    <t>Columna12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</si>
</sst>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"/>
    <numFmt numFmtId="165" formatCode="&quot;$&quot;\ #,##0.00"/>
    <numFmt numFmtId="166" formatCode="_ &quot;$&quot;\ * #,##0.00_ ;_ &quot;$&quot;\ * \-#,##0.00_ ;_ &quot;$&quot;\ * &quot;-&quot;??_ ;_ @_ "/>
    <numFmt numFmtId="167" formatCode="#,##0.0;[Red]\(#,##0.0\)"/>
    <numFmt numFmtId="168" formatCode="_-[$$-2C0A]\ * #,##0.00_-;\-[$$-2C0A]\ * #,##0.00_-;_-[$$-2C0A]\ * &quot;-&quot;??_-;_-@_-"/>
    <numFmt numFmtId="169" formatCode="dd\-mm\-yy;@"/>
    <numFmt numFmtId="170" formatCode="_ [$$-2C0A]\ * #,##0.00_ ;_ [$$-2C0A]\ * \-#,##0.00_ ;_ [$$-2C0A]\ * &quot;-&quot;??_ ;_ @_ "/>
    <numFmt numFmtId="171" formatCode="mmm"/>
    <numFmt numFmtId="172" formatCode="_-[$USD]\ * #,##0.00_-;\-[$USD]\ * #,##0.00_-;_-[$USD]\ * &quot;-&quot;??_-;_-@_-"/>
    <numFmt numFmtId="173" formatCode="_-* #,##0.00\ [$€-C0A]_-;\-* #,##0.00\ [$€-C0A]_-;_-* &quot;-&quot;??\ [$€-C0A]_-;_-@_-"/>
    <numFmt numFmtId="174" formatCode="[$$-2C0A]\ #,##0;\-[$$-2C0A]\ #,##0"/>
    <numFmt numFmtId="175" formatCode="0.0%"/>
    <numFmt numFmtId="176" formatCode="_-&quot;$&quot;\ * #,##0_-;\-&quot;$&quot;\ * #,##0_-;_-&quot;$&quot;\ * &quot;-&quot;??_-;_-@_-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Display"/>
      <family val="1"/>
      <scheme val="major"/>
    </font>
    <font>
      <sz val="16"/>
      <color theme="0" tint="-0.499984740745262"/>
      <name val="Aptos Display"/>
      <family val="1"/>
      <scheme val="major"/>
    </font>
    <font>
      <b/>
      <sz val="14"/>
      <color rgb="FF1A5AE6"/>
      <name val="Aptos Display"/>
      <family val="1"/>
      <scheme val="major"/>
    </font>
    <font>
      <b/>
      <sz val="14"/>
      <color rgb="FFFF0000"/>
      <name val="Aptos Display"/>
      <family val="1"/>
      <scheme val="major"/>
    </font>
    <font>
      <b/>
      <sz val="14"/>
      <color theme="0"/>
      <name val="Aptos Display"/>
      <family val="1"/>
      <scheme val="major"/>
    </font>
    <font>
      <b/>
      <sz val="12"/>
      <color theme="0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0"/>
      <color indexed="17"/>
      <name val="Aptos Display"/>
      <family val="1"/>
      <scheme val="major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b/>
      <sz val="10"/>
      <color theme="3" tint="-0.49998474074526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009688"/>
      <name val="Calibri"/>
      <family val="2"/>
    </font>
    <font>
      <sz val="9"/>
      <color theme="1"/>
      <name val="Aptos Narrow"/>
      <family val="2"/>
    </font>
    <font>
      <b/>
      <sz val="9"/>
      <color rgb="FFC00000"/>
      <name val="Aptos Narrow"/>
      <family val="2"/>
    </font>
    <font>
      <i/>
      <sz val="9"/>
      <color theme="1"/>
      <name val="Aptos Narrow"/>
      <family val="2"/>
    </font>
    <font>
      <b/>
      <sz val="9"/>
      <color theme="1"/>
      <name val="Aptos Narrow"/>
      <family val="2"/>
    </font>
    <font>
      <sz val="9"/>
      <name val="Aptos Narrow"/>
      <family val="2"/>
    </font>
    <font>
      <b/>
      <sz val="9"/>
      <color rgb="FFFF0000"/>
      <name val="Aptos Narrow"/>
      <family val="2"/>
    </font>
    <font>
      <b/>
      <sz val="9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1"/>
      <color theme="1"/>
      <name val="Calibri"/>
      <family val="2"/>
    </font>
    <font>
      <b/>
      <u/>
      <sz val="9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sz val="12"/>
      <name val="Courie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DEED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FF2F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8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FAB8F1"/>
        <bgColor theme="4" tint="0.79998168889431442"/>
      </patternFill>
    </fill>
  </fills>
  <borders count="27">
    <border>
      <left/>
      <right/>
      <top/>
      <bottom/>
      <diagonal/>
    </border>
    <border>
      <left/>
      <right/>
      <top style="medium">
        <color rgb="FFDEEDFF"/>
      </top>
      <bottom/>
      <diagonal/>
    </border>
    <border>
      <left/>
      <right style="thin">
        <color theme="0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/>
      </left>
      <right/>
      <top/>
      <bottom/>
      <diagonal/>
    </border>
    <border>
      <left style="hair">
        <color theme="8" tint="0.39994506668294322"/>
      </left>
      <right style="hair">
        <color theme="8" tint="0.39994506668294322"/>
      </right>
      <top style="hair">
        <color theme="8" tint="0.39994506668294322"/>
      </top>
      <bottom style="hair">
        <color theme="8" tint="0.39994506668294322"/>
      </bottom>
      <diagonal/>
    </border>
    <border>
      <left/>
      <right/>
      <top style="double">
        <color auto="1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/>
      </left>
      <right style="medium">
        <color theme="0" tint="-4.9989318521683403E-2"/>
      </right>
      <top style="medium">
        <color theme="0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>
      <alignment vertical="top"/>
    </xf>
    <xf numFmtId="166" fontId="13" fillId="0" borderId="0" applyFont="0" applyFill="0" applyBorder="0" applyAlignment="0" applyProtection="0">
      <alignment vertical="top"/>
    </xf>
    <xf numFmtId="9" fontId="13" fillId="0" borderId="0" applyFont="0" applyFill="0" applyBorder="0" applyAlignment="0" applyProtection="0">
      <alignment vertical="top"/>
    </xf>
    <xf numFmtId="0" fontId="1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7" fillId="0" borderId="0"/>
    <xf numFmtId="44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6">
    <xf numFmtId="0" fontId="0" fillId="0" borderId="0" xfId="0"/>
    <xf numFmtId="165" fontId="10" fillId="0" borderId="4" xfId="4" applyNumberFormat="1" applyFont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7" fillId="2" borderId="1" xfId="0" applyNumberFormat="1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167" fontId="11" fillId="0" borderId="0" xfId="0" applyNumberFormat="1" applyFont="1" applyAlignment="1" applyProtection="1">
      <alignment horizontal="center" vertical="center"/>
      <protection locked="0"/>
    </xf>
    <xf numFmtId="168" fontId="11" fillId="0" borderId="0" xfId="0" applyNumberFormat="1" applyFont="1" applyAlignment="1" applyProtection="1">
      <alignment horizontal="center" vertical="center"/>
      <protection locked="0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6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70" fontId="0" fillId="11" borderId="7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11" borderId="7" xfId="0" applyNumberFormat="1" applyFill="1" applyBorder="1" applyAlignment="1">
      <alignment horizontal="center" vertical="center"/>
    </xf>
    <xf numFmtId="0" fontId="18" fillId="0" borderId="0" xfId="9" applyFont="1" applyAlignment="1">
      <alignment horizontal="center" vertical="center"/>
    </xf>
    <xf numFmtId="0" fontId="19" fillId="0" borderId="0" xfId="9" applyFont="1" applyAlignment="1">
      <alignment horizontal="center" vertical="center"/>
    </xf>
    <xf numFmtId="14" fontId="19" fillId="0" borderId="0" xfId="9" applyNumberFormat="1" applyFont="1" applyAlignment="1">
      <alignment horizontal="center" vertical="center"/>
    </xf>
    <xf numFmtId="44" fontId="19" fillId="0" borderId="0" xfId="1" applyFont="1" applyAlignment="1">
      <alignment horizontal="center" vertical="center"/>
    </xf>
    <xf numFmtId="14" fontId="19" fillId="0" borderId="10" xfId="9" applyNumberFormat="1" applyFont="1" applyBorder="1" applyAlignment="1">
      <alignment horizontal="center" vertical="center"/>
    </xf>
    <xf numFmtId="14" fontId="19" fillId="8" borderId="11" xfId="9" applyNumberFormat="1" applyFont="1" applyFill="1" applyBorder="1" applyAlignment="1">
      <alignment horizontal="center" vertical="center"/>
    </xf>
    <xf numFmtId="165" fontId="19" fillId="0" borderId="13" xfId="9" applyNumberFormat="1" applyFont="1" applyBorder="1" applyAlignment="1">
      <alignment horizontal="center" vertical="center"/>
    </xf>
    <xf numFmtId="165" fontId="19" fillId="0" borderId="0" xfId="9" applyNumberFormat="1" applyFont="1" applyAlignment="1">
      <alignment horizontal="center" vertical="center"/>
    </xf>
    <xf numFmtId="0" fontId="19" fillId="0" borderId="16" xfId="9" applyFont="1" applyBorder="1" applyAlignment="1">
      <alignment horizontal="center" vertical="center"/>
    </xf>
    <xf numFmtId="0" fontId="21" fillId="0" borderId="0" xfId="0" applyFont="1"/>
    <xf numFmtId="168" fontId="22" fillId="14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44" fontId="23" fillId="0" borderId="0" xfId="1" applyFont="1" applyAlignment="1">
      <alignment horizontal="center" vertical="center"/>
    </xf>
    <xf numFmtId="10" fontId="23" fillId="0" borderId="0" xfId="2" applyNumberFormat="1" applyFont="1" applyAlignment="1">
      <alignment horizontal="center" vertical="center"/>
    </xf>
    <xf numFmtId="9" fontId="23" fillId="0" borderId="0" xfId="2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2" applyNumberFormat="1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7" fontId="21" fillId="0" borderId="17" xfId="1" applyNumberFormat="1" applyFont="1" applyBorder="1" applyAlignment="1">
      <alignment horizontal="center" vertical="center"/>
    </xf>
    <xf numFmtId="0" fontId="24" fillId="0" borderId="17" xfId="0" applyFont="1" applyBorder="1"/>
    <xf numFmtId="0" fontId="21" fillId="0" borderId="17" xfId="0" applyFont="1" applyBorder="1"/>
    <xf numFmtId="9" fontId="21" fillId="0" borderId="17" xfId="0" applyNumberFormat="1" applyFont="1" applyBorder="1" applyAlignment="1">
      <alignment horizontal="left" vertical="center"/>
    </xf>
    <xf numFmtId="44" fontId="25" fillId="0" borderId="17" xfId="1" applyFont="1" applyFill="1" applyBorder="1"/>
    <xf numFmtId="44" fontId="25" fillId="0" borderId="18" xfId="1" applyFont="1" applyFill="1" applyBorder="1"/>
    <xf numFmtId="44" fontId="24" fillId="0" borderId="17" xfId="1" applyFont="1" applyBorder="1"/>
    <xf numFmtId="10" fontId="21" fillId="0" borderId="17" xfId="0" applyNumberFormat="1" applyFont="1" applyBorder="1" applyAlignment="1">
      <alignment horizontal="left" vertical="center"/>
    </xf>
    <xf numFmtId="44" fontId="24" fillId="16" borderId="22" xfId="1" applyFont="1" applyFill="1" applyBorder="1"/>
    <xf numFmtId="44" fontId="24" fillId="0" borderId="0" xfId="1" applyFont="1" applyBorder="1"/>
    <xf numFmtId="44" fontId="21" fillId="0" borderId="17" xfId="1" applyFont="1" applyFill="1" applyBorder="1"/>
    <xf numFmtId="44" fontId="24" fillId="0" borderId="17" xfId="1" applyFont="1" applyFill="1" applyBorder="1"/>
    <xf numFmtId="0" fontId="24" fillId="0" borderId="0" xfId="0" applyFont="1"/>
    <xf numFmtId="44" fontId="21" fillId="5" borderId="17" xfId="1" applyFont="1" applyFill="1" applyBorder="1"/>
    <xf numFmtId="44" fontId="25" fillId="0" borderId="17" xfId="11" applyFont="1" applyFill="1" applyBorder="1"/>
    <xf numFmtId="0" fontId="25" fillId="0" borderId="17" xfId="0" applyFont="1" applyBorder="1"/>
    <xf numFmtId="44" fontId="21" fillId="0" borderId="18" xfId="1" applyFont="1" applyFill="1" applyBorder="1"/>
    <xf numFmtId="44" fontId="21" fillId="0" borderId="0" xfId="0" applyNumberFormat="1" applyFont="1"/>
    <xf numFmtId="44" fontId="21" fillId="0" borderId="0" xfId="1" applyFont="1"/>
    <xf numFmtId="44" fontId="21" fillId="0" borderId="17" xfId="1" applyFont="1" applyBorder="1"/>
    <xf numFmtId="10" fontId="21" fillId="0" borderId="0" xfId="2" applyNumberFormat="1" applyFont="1"/>
    <xf numFmtId="44" fontId="21" fillId="0" borderId="0" xfId="1" applyFont="1" applyFill="1"/>
    <xf numFmtId="44" fontId="21" fillId="17" borderId="17" xfId="1" applyFont="1" applyFill="1" applyBorder="1"/>
    <xf numFmtId="44" fontId="21" fillId="0" borderId="17" xfId="12" applyFont="1" applyFill="1" applyBorder="1"/>
    <xf numFmtId="44" fontId="26" fillId="0" borderId="17" xfId="1" applyFont="1" applyFill="1" applyBorder="1"/>
    <xf numFmtId="44" fontId="26" fillId="0" borderId="17" xfId="1" applyFont="1" applyBorder="1"/>
    <xf numFmtId="173" fontId="21" fillId="0" borderId="0" xfId="0" applyNumberFormat="1" applyFont="1"/>
    <xf numFmtId="43" fontId="21" fillId="0" borderId="0" xfId="0" applyNumberFormat="1" applyFont="1"/>
    <xf numFmtId="44" fontId="21" fillId="0" borderId="0" xfId="2" applyNumberFormat="1" applyFont="1"/>
    <xf numFmtId="0" fontId="27" fillId="0" borderId="17" xfId="0" applyFont="1" applyBorder="1"/>
    <xf numFmtId="0" fontId="25" fillId="0" borderId="0" xfId="0" applyFont="1"/>
    <xf numFmtId="44" fontId="21" fillId="15" borderId="17" xfId="1" applyFont="1" applyFill="1" applyBorder="1"/>
    <xf numFmtId="0" fontId="25" fillId="0" borderId="17" xfId="0" quotePrefix="1" applyFont="1" applyBorder="1"/>
    <xf numFmtId="44" fontId="21" fillId="9" borderId="17" xfId="1" applyFont="1" applyFill="1" applyBorder="1"/>
    <xf numFmtId="44" fontId="27" fillId="0" borderId="17" xfId="1" applyFont="1" applyFill="1" applyBorder="1"/>
    <xf numFmtId="9" fontId="21" fillId="0" borderId="0" xfId="2" applyFont="1"/>
    <xf numFmtId="43" fontId="25" fillId="0" borderId="17" xfId="10" applyFont="1" applyFill="1" applyBorder="1"/>
    <xf numFmtId="44" fontId="25" fillId="0" borderId="0" xfId="1" applyFont="1" applyFill="1" applyBorder="1"/>
    <xf numFmtId="0" fontId="24" fillId="0" borderId="17" xfId="0" applyFont="1" applyBorder="1" applyAlignment="1">
      <alignment horizontal="left" vertical="center"/>
    </xf>
    <xf numFmtId="0" fontId="21" fillId="0" borderId="17" xfId="0" applyFont="1" applyBorder="1" applyAlignment="1">
      <alignment horizontal="center" vertical="center"/>
    </xf>
    <xf numFmtId="8" fontId="25" fillId="0" borderId="17" xfId="1" applyNumberFormat="1" applyFont="1" applyFill="1" applyBorder="1"/>
    <xf numFmtId="8" fontId="21" fillId="0" borderId="17" xfId="1" applyNumberFormat="1" applyFont="1" applyBorder="1" applyAlignment="1">
      <alignment horizontal="center" vertical="center"/>
    </xf>
    <xf numFmtId="44" fontId="21" fillId="0" borderId="17" xfId="1" applyFont="1" applyBorder="1" applyAlignment="1">
      <alignment horizontal="center" vertical="center"/>
    </xf>
    <xf numFmtId="17" fontId="24" fillId="0" borderId="17" xfId="1" applyNumberFormat="1" applyFont="1" applyBorder="1" applyAlignment="1">
      <alignment horizontal="center" vertical="center"/>
    </xf>
    <xf numFmtId="44" fontId="24" fillId="0" borderId="22" xfId="1" applyFont="1" applyBorder="1"/>
    <xf numFmtId="0" fontId="24" fillId="0" borderId="0" xfId="0" applyFont="1" applyAlignment="1">
      <alignment horizontal="center"/>
    </xf>
    <xf numFmtId="174" fontId="21" fillId="0" borderId="0" xfId="10" applyNumberFormat="1" applyFont="1" applyBorder="1"/>
    <xf numFmtId="168" fontId="21" fillId="0" borderId="0" xfId="0" applyNumberFormat="1" applyFont="1"/>
    <xf numFmtId="168" fontId="24" fillId="0" borderId="0" xfId="0" applyNumberFormat="1" applyFont="1"/>
    <xf numFmtId="0" fontId="30" fillId="18" borderId="17" xfId="0" applyFont="1" applyFill="1" applyBorder="1" applyAlignment="1">
      <alignment horizontal="center" vertical="center"/>
    </xf>
    <xf numFmtId="168" fontId="30" fillId="18" borderId="17" xfId="0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/>
    <xf numFmtId="168" fontId="18" fillId="0" borderId="17" xfId="1" applyNumberFormat="1" applyFont="1" applyBorder="1"/>
    <xf numFmtId="44" fontId="18" fillId="0" borderId="17" xfId="1" applyFont="1" applyBorder="1"/>
    <xf numFmtId="44" fontId="30" fillId="0" borderId="17" xfId="0" applyNumberFormat="1" applyFont="1" applyBorder="1"/>
    <xf numFmtId="8" fontId="18" fillId="0" borderId="17" xfId="1" applyNumberFormat="1" applyFont="1" applyBorder="1"/>
    <xf numFmtId="0" fontId="18" fillId="0" borderId="0" xfId="0" applyFont="1"/>
    <xf numFmtId="168" fontId="31" fillId="0" borderId="17" xfId="1" applyNumberFormat="1" applyFont="1" applyBorder="1"/>
    <xf numFmtId="0" fontId="32" fillId="19" borderId="17" xfId="0" applyFont="1" applyFill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/>
    </xf>
    <xf numFmtId="10" fontId="18" fillId="0" borderId="17" xfId="2" applyNumberFormat="1" applyFont="1" applyBorder="1" applyAlignment="1">
      <alignment horizontal="center"/>
    </xf>
    <xf numFmtId="168" fontId="18" fillId="0" borderId="17" xfId="0" applyNumberFormat="1" applyFont="1" applyBorder="1"/>
    <xf numFmtId="1" fontId="30" fillId="0" borderId="17" xfId="0" applyNumberFormat="1" applyFont="1" applyBorder="1" applyAlignment="1">
      <alignment horizontal="center"/>
    </xf>
    <xf numFmtId="9" fontId="30" fillId="0" borderId="17" xfId="0" applyNumberFormat="1" applyFont="1" applyBorder="1" applyAlignment="1">
      <alignment horizontal="center"/>
    </xf>
    <xf numFmtId="0" fontId="33" fillId="0" borderId="0" xfId="0" applyFont="1"/>
    <xf numFmtId="17" fontId="34" fillId="0" borderId="0" xfId="0" applyNumberFormat="1" applyFont="1" applyAlignment="1">
      <alignment horizontal="center" vertical="center"/>
    </xf>
    <xf numFmtId="0" fontId="35" fillId="10" borderId="0" xfId="0" applyFont="1" applyFill="1"/>
    <xf numFmtId="0" fontId="35" fillId="0" borderId="0" xfId="0" applyFont="1"/>
    <xf numFmtId="43" fontId="33" fillId="0" borderId="0" xfId="0" applyNumberFormat="1" applyFont="1"/>
    <xf numFmtId="44" fontId="36" fillId="7" borderId="0" xfId="1" applyFont="1" applyFill="1" applyAlignment="1">
      <alignment horizontal="center" vertical="center"/>
    </xf>
    <xf numFmtId="44" fontId="33" fillId="0" borderId="0" xfId="1" applyFont="1" applyFill="1" applyAlignment="1">
      <alignment horizontal="center" vertical="center"/>
    </xf>
    <xf numFmtId="175" fontId="0" fillId="0" borderId="0" xfId="2" applyNumberFormat="1" applyFont="1"/>
    <xf numFmtId="44" fontId="4" fillId="0" borderId="0" xfId="1" applyFont="1" applyAlignment="1" applyProtection="1">
      <alignment horizontal="center" vertical="center"/>
      <protection locked="0"/>
    </xf>
    <xf numFmtId="176" fontId="25" fillId="0" borderId="26" xfId="1" applyNumberFormat="1" applyFont="1" applyFill="1" applyBorder="1" applyAlignment="1">
      <alignment vertical="center"/>
    </xf>
    <xf numFmtId="176" fontId="21" fillId="0" borderId="0" xfId="0" applyNumberFormat="1" applyFont="1"/>
    <xf numFmtId="0" fontId="20" fillId="13" borderId="8" xfId="9" applyFont="1" applyFill="1" applyBorder="1" applyAlignment="1">
      <alignment horizontal="center" vertical="center"/>
    </xf>
    <xf numFmtId="14" fontId="20" fillId="13" borderId="8" xfId="9" applyNumberFormat="1" applyFont="1" applyFill="1" applyBorder="1" applyAlignment="1">
      <alignment horizontal="center" vertical="center"/>
    </xf>
    <xf numFmtId="0" fontId="20" fillId="13" borderId="5" xfId="9" applyFont="1" applyFill="1" applyBorder="1" applyAlignment="1">
      <alignment horizontal="center" vertical="center"/>
    </xf>
    <xf numFmtId="14" fontId="20" fillId="13" borderId="8" xfId="9" applyNumberFormat="1" applyFont="1" applyFill="1" applyBorder="1" applyAlignment="1">
      <alignment horizontal="center" vertical="center" wrapText="1"/>
    </xf>
    <xf numFmtId="0" fontId="19" fillId="0" borderId="12" xfId="9" applyFont="1" applyBorder="1" applyAlignment="1">
      <alignment horizontal="center" vertical="center"/>
    </xf>
    <xf numFmtId="0" fontId="19" fillId="0" borderId="15" xfId="9" applyFont="1" applyBorder="1" applyAlignment="1">
      <alignment horizontal="center" vertical="center"/>
    </xf>
    <xf numFmtId="14" fontId="19" fillId="0" borderId="14" xfId="9" applyNumberFormat="1" applyFont="1" applyBorder="1" applyAlignment="1">
      <alignment horizontal="center" vertical="center"/>
    </xf>
    <xf numFmtId="44" fontId="20" fillId="13" borderId="8" xfId="1" applyFont="1" applyFill="1" applyBorder="1" applyAlignment="1">
      <alignment horizontal="center" vertical="center"/>
    </xf>
    <xf numFmtId="44" fontId="19" fillId="0" borderId="9" xfId="1" applyFont="1" applyBorder="1" applyAlignment="1">
      <alignment horizontal="center" vertical="center"/>
    </xf>
    <xf numFmtId="44" fontId="19" fillId="0" borderId="9" xfId="1" applyFont="1" applyFill="1" applyBorder="1" applyAlignment="1">
      <alignment horizontal="center" vertical="center"/>
    </xf>
    <xf numFmtId="0" fontId="14" fillId="5" borderId="0" xfId="6" applyFont="1" applyFill="1" applyAlignment="1">
      <alignment horizontal="center" vertical="center"/>
    </xf>
    <xf numFmtId="14" fontId="14" fillId="5" borderId="0" xfId="6" applyNumberFormat="1" applyFont="1" applyFill="1" applyAlignment="1">
      <alignment horizontal="center" vertical="center"/>
    </xf>
    <xf numFmtId="49" fontId="14" fillId="5" borderId="0" xfId="6" applyNumberFormat="1" applyFont="1" applyFill="1" applyAlignment="1">
      <alignment horizontal="center" vertical="center"/>
    </xf>
    <xf numFmtId="170" fontId="14" fillId="5" borderId="0" xfId="6" applyNumberFormat="1" applyFont="1" applyFill="1" applyAlignment="1">
      <alignment horizontal="center" vertical="center"/>
    </xf>
    <xf numFmtId="166" fontId="14" fillId="5" borderId="0" xfId="7" applyFont="1" applyFill="1" applyAlignment="1">
      <alignment horizontal="center" vertical="center"/>
    </xf>
    <xf numFmtId="14" fontId="14" fillId="5" borderId="0" xfId="6" applyNumberFormat="1" applyFont="1" applyFill="1" applyAlignment="1">
      <alignment horizontal="center" vertical="center" wrapText="1"/>
    </xf>
    <xf numFmtId="0" fontId="14" fillId="5" borderId="0" xfId="6" applyFont="1" applyFill="1" applyAlignment="1">
      <alignment horizontal="center" vertical="center" wrapText="1"/>
    </xf>
    <xf numFmtId="0" fontId="14" fillId="6" borderId="0" xfId="6" applyFont="1" applyFill="1" applyAlignment="1">
      <alignment horizontal="center" vertical="center" wrapText="1"/>
    </xf>
    <xf numFmtId="169" fontId="14" fillId="5" borderId="0" xfId="6" applyNumberFormat="1" applyFont="1" applyFill="1" applyAlignment="1">
      <alignment horizontal="center" vertical="center"/>
    </xf>
    <xf numFmtId="169" fontId="14" fillId="6" borderId="0" xfId="6" applyNumberFormat="1" applyFont="1" applyFill="1" applyAlignment="1">
      <alignment horizontal="center" vertical="center" wrapText="1"/>
    </xf>
    <xf numFmtId="166" fontId="15" fillId="5" borderId="0" xfId="7" applyFont="1" applyFill="1" applyAlignment="1">
      <alignment horizontal="center" vertical="center"/>
    </xf>
    <xf numFmtId="0" fontId="3" fillId="0" borderId="0" xfId="6" applyFont="1" applyAlignment="1">
      <alignment horizontal="center" vertical="center"/>
    </xf>
    <xf numFmtId="14" fontId="13" fillId="0" borderId="6" xfId="6" applyNumberFormat="1" applyBorder="1" applyAlignment="1">
      <alignment horizontal="center" vertical="center"/>
    </xf>
    <xf numFmtId="0" fontId="13" fillId="0" borderId="6" xfId="6" applyBorder="1" applyAlignment="1">
      <alignment horizontal="center" vertical="center"/>
    </xf>
    <xf numFmtId="0" fontId="13" fillId="0" borderId="6" xfId="6" quotePrefix="1" applyBorder="1" applyAlignment="1">
      <alignment horizontal="center" vertical="center"/>
    </xf>
    <xf numFmtId="0" fontId="3" fillId="0" borderId="6" xfId="6" applyFont="1" applyBorder="1" applyAlignment="1">
      <alignment horizontal="center" vertical="center"/>
    </xf>
    <xf numFmtId="170" fontId="13" fillId="0" borderId="6" xfId="6" applyNumberFormat="1" applyBorder="1" applyAlignment="1">
      <alignment horizontal="center" vertical="center"/>
    </xf>
    <xf numFmtId="166" fontId="3" fillId="7" borderId="6" xfId="7" applyFont="1" applyFill="1" applyBorder="1" applyAlignment="1">
      <alignment horizontal="center" vertical="center"/>
    </xf>
    <xf numFmtId="166" fontId="16" fillId="8" borderId="6" xfId="7" applyFont="1" applyFill="1" applyBorder="1" applyAlignment="1">
      <alignment horizontal="center" vertical="center"/>
    </xf>
    <xf numFmtId="9" fontId="13" fillId="0" borderId="6" xfId="8" applyFont="1" applyFill="1" applyBorder="1" applyAlignment="1">
      <alignment horizontal="center" vertical="center"/>
    </xf>
    <xf numFmtId="171" fontId="13" fillId="0" borderId="6" xfId="6" applyNumberFormat="1" applyBorder="1" applyAlignment="1">
      <alignment horizontal="center" vertical="center"/>
    </xf>
    <xf numFmtId="170" fontId="13" fillId="9" borderId="6" xfId="6" applyNumberFormat="1" applyFill="1" applyBorder="1" applyAlignment="1">
      <alignment horizontal="center" vertical="center"/>
    </xf>
    <xf numFmtId="16" fontId="13" fillId="0" borderId="6" xfId="6" applyNumberFormat="1" applyBorder="1" applyAlignment="1">
      <alignment horizontal="center" vertical="center"/>
    </xf>
    <xf numFmtId="0" fontId="3" fillId="9" borderId="6" xfId="6" applyFont="1" applyFill="1" applyBorder="1" applyAlignment="1">
      <alignment horizontal="center" vertical="center"/>
    </xf>
    <xf numFmtId="172" fontId="13" fillId="0" borderId="6" xfId="6" applyNumberFormat="1" applyBorder="1" applyAlignment="1">
      <alignment horizontal="center" vertical="center"/>
    </xf>
    <xf numFmtId="172" fontId="3" fillId="7" borderId="6" xfId="7" applyNumberFormat="1" applyFont="1" applyFill="1" applyBorder="1" applyAlignment="1">
      <alignment horizontal="center" vertical="center"/>
    </xf>
    <xf numFmtId="172" fontId="13" fillId="9" borderId="6" xfId="6" applyNumberFormat="1" applyFill="1" applyBorder="1" applyAlignment="1">
      <alignment horizontal="center" vertical="center"/>
    </xf>
    <xf numFmtId="1" fontId="3" fillId="0" borderId="6" xfId="6" applyNumberFormat="1" applyFont="1" applyBorder="1" applyAlignment="1">
      <alignment horizontal="center" vertical="center"/>
    </xf>
    <xf numFmtId="172" fontId="3" fillId="7" borderId="6" xfId="1" applyNumberFormat="1" applyFont="1" applyFill="1" applyBorder="1" applyAlignment="1">
      <alignment horizontal="center" vertical="center"/>
    </xf>
    <xf numFmtId="172" fontId="13" fillId="0" borderId="6" xfId="1" applyNumberFormat="1" applyFont="1" applyBorder="1" applyAlignment="1">
      <alignment horizontal="center" vertical="center"/>
    </xf>
    <xf numFmtId="44" fontId="24" fillId="16" borderId="19" xfId="1" applyFont="1" applyFill="1" applyBorder="1" applyAlignment="1">
      <alignment horizontal="center" vertical="center"/>
    </xf>
    <xf numFmtId="44" fontId="24" fillId="16" borderId="20" xfId="1" applyFont="1" applyFill="1" applyBorder="1" applyAlignment="1">
      <alignment horizontal="center" vertical="center"/>
    </xf>
    <xf numFmtId="44" fontId="24" fillId="16" borderId="21" xfId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0" xfId="0" applyFont="1" applyAlignment="1">
      <alignment horizontal="center" wrapText="1"/>
    </xf>
    <xf numFmtId="17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/>
    <xf numFmtId="0" fontId="14" fillId="5" borderId="0" xfId="6" applyFont="1" applyFill="1" applyAlignment="1">
      <alignment horizontal="center" vertical="center"/>
    </xf>
    <xf numFmtId="14" fontId="14" fillId="5" borderId="0" xfId="6" applyNumberFormat="1" applyFont="1" applyFill="1" applyAlignment="1">
      <alignment horizontal="center" vertical="center"/>
    </xf>
    <xf numFmtId="49" fontId="14" fillId="5" borderId="0" xfId="6" applyNumberFormat="1" applyFont="1" applyFill="1" applyAlignment="1">
      <alignment horizontal="center" vertical="center"/>
    </xf>
    <xf numFmtId="170" fontId="14" fillId="5" borderId="0" xfId="6" applyNumberFormat="1" applyFont="1" applyFill="1" applyAlignment="1">
      <alignment horizontal="center" vertical="center"/>
    </xf>
    <xf numFmtId="166" fontId="14" fillId="5" borderId="0" xfId="7" applyFont="1" applyFill="1" applyAlignment="1">
      <alignment horizontal="center" vertical="center"/>
    </xf>
    <xf numFmtId="14" fontId="14" fillId="5" borderId="0" xfId="6" applyNumberFormat="1" applyFont="1" applyFill="1" applyAlignment="1">
      <alignment horizontal="center" vertical="center" wrapText="1"/>
    </xf>
    <xf numFmtId="0" fontId="14" fillId="5" borderId="0" xfId="6" applyFont="1" applyFill="1" applyAlignment="1">
      <alignment horizontal="center" vertical="center" wrapText="1"/>
    </xf>
    <xf numFmtId="0" fontId="14" fillId="6" borderId="0" xfId="6" applyFont="1" applyFill="1" applyAlignment="1">
      <alignment horizontal="center" vertical="center" wrapText="1"/>
    </xf>
    <xf numFmtId="169" fontId="14" fillId="5" borderId="0" xfId="6" applyNumberFormat="1" applyFont="1" applyFill="1" applyAlignment="1">
      <alignment horizontal="center" vertical="center"/>
    </xf>
    <xf numFmtId="169" fontId="14" fillId="6" borderId="0" xfId="6" applyNumberFormat="1" applyFont="1" applyFill="1" applyAlignment="1">
      <alignment horizontal="center" vertical="center" wrapText="1"/>
    </xf>
    <xf numFmtId="166" fontId="15" fillId="5" borderId="0" xfId="7" applyFont="1" applyFill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3" fillId="0" borderId="6" xfId="6" applyNumberFormat="1" applyBorder="1" applyAlignment="1">
      <alignment horizontal="center" vertical="center"/>
    </xf>
    <xf numFmtId="0" fontId="13" fillId="0" borderId="6" xfId="6" applyBorder="1" applyAlignment="1">
      <alignment horizontal="center" vertical="center"/>
    </xf>
    <xf numFmtId="0" fontId="13" fillId="0" borderId="6" xfId="6" quotePrefix="1" applyBorder="1" applyAlignment="1">
      <alignment horizontal="center" vertical="center"/>
    </xf>
    <xf numFmtId="0" fontId="3" fillId="0" borderId="6" xfId="6" applyFont="1" applyBorder="1" applyAlignment="1">
      <alignment horizontal="center" vertical="center"/>
    </xf>
    <xf numFmtId="170" fontId="13" fillId="0" borderId="6" xfId="6" applyNumberFormat="1" applyBorder="1" applyAlignment="1">
      <alignment horizontal="center" vertical="center"/>
    </xf>
    <xf numFmtId="166" fontId="3" fillId="7" borderId="6" xfId="7" applyFont="1" applyFill="1" applyBorder="1" applyAlignment="1">
      <alignment horizontal="center" vertical="center"/>
    </xf>
    <xf numFmtId="166" fontId="16" fillId="8" borderId="6" xfId="7" applyFont="1" applyFill="1" applyBorder="1" applyAlignment="1">
      <alignment horizontal="center" vertical="center"/>
    </xf>
    <xf numFmtId="9" fontId="13" fillId="0" borderId="6" xfId="8" applyFont="1" applyFill="1" applyBorder="1" applyAlignment="1">
      <alignment horizontal="center" vertical="center"/>
    </xf>
    <xf numFmtId="171" fontId="13" fillId="0" borderId="6" xfId="6" applyNumberFormat="1" applyBorder="1" applyAlignment="1">
      <alignment horizontal="center" vertical="center"/>
    </xf>
    <xf numFmtId="16" fontId="13" fillId="0" borderId="6" xfId="6" applyNumberFormat="1" applyBorder="1" applyAlignment="1">
      <alignment horizontal="center" vertical="center"/>
    </xf>
    <xf numFmtId="0" fontId="3" fillId="9" borderId="6" xfId="6" applyFont="1" applyFill="1" applyBorder="1" applyAlignment="1">
      <alignment horizontal="center" vertical="center"/>
    </xf>
  </cellXfs>
  <cellStyles count="20">
    <cellStyle name="Millares" xfId="10" builtinId="3"/>
    <cellStyle name="Moneda" xfId="1" builtinId="4"/>
    <cellStyle name="Moneda 11" xfId="12" xr:uid="{06E93C52-0D95-435A-86BF-81E4A71FB65F}"/>
    <cellStyle name="Moneda 2" xfId="4" xr:uid="{A04A75FB-7049-403B-A863-ECB1A570B1BC}"/>
    <cellStyle name="Moneda 2 2" xfId="7" xr:uid="{66F6DBC9-E74B-41E7-92EF-AA1C08A1E224}"/>
    <cellStyle name="Moneda 2 3" xfId="15" xr:uid="{C76C4608-8514-4173-97FF-6BB179100734}"/>
    <cellStyle name="Moneda 3" xfId="14" xr:uid="{ED48BB21-9199-489B-9246-D795BBB0EE28}"/>
    <cellStyle name="Moneda 4" xfId="16" xr:uid="{7523DD23-7F0E-4F59-A40F-24DBBDE9E83B}"/>
    <cellStyle name="Moneda 5" xfId="17" xr:uid="{78DBCF47-5203-4209-9F30-2CBD412B156D}"/>
    <cellStyle name="Moneda 6" xfId="11" xr:uid="{B06FB795-773F-43AB-8540-53F6DC5ED351}"/>
    <cellStyle name="Moneda 7" xfId="18" xr:uid="{9242F1A1-6B48-4761-8F7F-57C6CE19FD19}"/>
    <cellStyle name="Moneda 8" xfId="19" xr:uid="{A838BED2-A534-4A82-9ABB-9CA659C913A2}"/>
    <cellStyle name="Normal" xfId="0" builtinId="0"/>
    <cellStyle name="Normal 2" xfId="3" xr:uid="{E4A01502-6D3F-4E93-A15F-C95EF4253D30}"/>
    <cellStyle name="Normal 2 2" xfId="6" xr:uid="{FDE663C9-DFBA-4DA0-B1DE-CD86C9A8145B}"/>
    <cellStyle name="Normal 2 3" xfId="9" xr:uid="{F90875AE-F150-4417-A1A8-0D39A0D14089}"/>
    <cellStyle name="Normal 3" xfId="13" xr:uid="{FEF35D46-5378-47C2-A40B-4197AD7F1DBC}"/>
    <cellStyle name="Porcentaje" xfId="2" builtinId="5"/>
    <cellStyle name="Porcentaje 2" xfId="5" xr:uid="{608ECD8D-5585-48E0-897B-9CCF525B343E}"/>
    <cellStyle name="Porcentaje 2 2" xfId="8" xr:uid="{F70D409C-B479-4577-8321-BC3C001A1348}"/>
  </cellStyles>
  <dxfs count="30"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medium">
          <color theme="0" tint="-4.9989318521683403E-2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 tint="-4.9989318521683403E-2"/>
        </right>
        <top style="medium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65" formatCode="&quot;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0" tint="-4.9989318521683403E-2"/>
        </right>
        <top style="medium">
          <color theme="0" tint="-4.9989318521683403E-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/>
        <top style="medium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 tint="-4.9989318521683403E-2"/>
        </left>
        <right/>
        <top style="medium">
          <color theme="0" tint="-4.9989318521683403E-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 tint="-4.9989318521683403E-2"/>
        </left>
        <right/>
        <top style="medium">
          <color theme="0" tint="-4.9989318521683403E-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5" formatCode="&quot;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 tint="-4.9989318521683403E-2"/>
        </right>
        <top style="medium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0" tint="-4.9989318521683403E-2"/>
        </right>
        <top style="medium">
          <color theme="0" tint="-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0" tint="-4.9989318521683403E-2"/>
        </right>
        <top style="medium">
          <color theme="0" tint="-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0" tint="-4.9989318521683403E-2"/>
        </right>
        <top style="medium">
          <color theme="0" tint="-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/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/>
        <top style="medium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/>
        <top style="medium">
          <color theme="0" tint="-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/>
        <top style="medium">
          <color theme="0" tint="-4.9989318521683403E-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/>
      </border>
    </dxf>
    <dxf>
      <border outline="0">
        <right style="medium">
          <color theme="0"/>
        </right>
        <top style="medium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9688"/>
        <name val="Calibri"/>
        <family val="2"/>
        <scheme val="none"/>
      </font>
      <fill>
        <patternFill patternType="solid">
          <fgColor indexed="64"/>
          <bgColor rgb="FFDFF2F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z val="9"/>
      </font>
      <fill>
        <patternFill>
          <bgColor theme="0" tint="-4.9989318521683403E-2"/>
        </patternFill>
      </fill>
      <border diagonalUp="0" diagonalDown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font>
        <sz val="9"/>
      </font>
      <border diagonalUp="0" diagonalDown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font>
        <sz val="10"/>
        <color theme="1" tint="0.14996795556505021"/>
      </font>
      <fill>
        <patternFill>
          <bgColor theme="6" tint="0.59996337778862885"/>
        </patternFill>
      </fill>
      <border diagonalUp="0" diagonalDown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/>
        <horizontal/>
      </border>
    </dxf>
    <dxf>
      <font>
        <color theme="1" tint="0.34998626667073579"/>
      </font>
      <border diagonalUp="0" diagonalDown="0"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</dxfs>
  <tableStyles count="1" defaultTableStyle="TableStyleMedium2" defaultPivotStyle="PivotStyleLight16">
    <tableStyle name="Check Register" pivot="0" count="4" xr9:uid="{126A4A2C-2B82-49C0-8F69-7B73DE04A98B}">
      <tableStyleElement type="wholeTable" dxfId="29"/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rnia\Administraci&#243;n\Users\Cecilia\Downloads\simulador-de-creditos-uva-en-excel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contrerass/Downloads/Saldos%20Bancos%20al%2001.01.2026%20(1).xlsx" TargetMode="External"/><Relationship Id="rId2" Type="http://schemas.openxmlformats.org/officeDocument/2006/relationships/externalLinkPath" Target="file:///C:\Users\lcontrerass\Downloads\Saldos%20Bancos%20al%2001.01.2026%20(1).xlsx" TargetMode="External"/><Relationship Id="rId1" Type="http://schemas.openxmlformats.org/officeDocument/2006/relationships/externalLinkPath" Target="/Users/lcontrerass/Downloads/Saldos%20Bancos%20al%2001.01.2026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137.20.30\Administraci&#243;n\Contabilidad\Mera%20Solutions%20S.A\Contabilidad\Bancos\Informacion\Relacion%20de%20echeqs%202026.xlsx" TargetMode="External"/><Relationship Id="rId1" Type="http://schemas.openxmlformats.org/officeDocument/2006/relationships/externalLinkPath" Target="file:///\\10.137.20.30\Administraci&#243;n\Contabilidad\Mera%20Solutions%20S.A\Contabilidad\Bancos\Informacion\Relacion%20de%20echeq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lador cuota de prestamo"/>
      <sheetName val="Instrucciones de Uso"/>
      <sheetName val="Simulador UVA"/>
      <sheetName val="Simulador"/>
      <sheetName val="Simulador TASA FIJA"/>
      <sheetName val="Evolución cuota GrÁfico"/>
      <sheetName val="Aclaraciones del simulador"/>
      <sheetName val="Créditos UVA comentarios"/>
      <sheetName val="Hoja1"/>
    </sheetNames>
    <sheetDataSet>
      <sheetData sheetId="0" refreshError="1"/>
      <sheetData sheetId="1" refreshError="1"/>
      <sheetData sheetId="2">
        <row r="28">
          <cell r="A28">
            <v>1</v>
          </cell>
          <cell r="K28">
            <v>5623.1867994938202</v>
          </cell>
        </row>
        <row r="29">
          <cell r="A29">
            <v>2</v>
          </cell>
          <cell r="K29">
            <v>5810.626359476948</v>
          </cell>
        </row>
        <row r="30">
          <cell r="A30">
            <v>3</v>
          </cell>
          <cell r="K30">
            <v>6004.3139047928462</v>
          </cell>
        </row>
        <row r="31">
          <cell r="A31">
            <v>4</v>
          </cell>
          <cell r="K31">
            <v>6204.4577016192752</v>
          </cell>
        </row>
        <row r="32">
          <cell r="A32">
            <v>5</v>
          </cell>
          <cell r="K32">
            <v>6411.2729583399177</v>
          </cell>
        </row>
        <row r="33">
          <cell r="A33">
            <v>6</v>
          </cell>
          <cell r="K33">
            <v>6624.9820569512485</v>
          </cell>
        </row>
        <row r="34">
          <cell r="A34">
            <v>7</v>
          </cell>
          <cell r="K34">
            <v>6845.8147921829586</v>
          </cell>
        </row>
        <row r="35">
          <cell r="A35">
            <v>8</v>
          </cell>
          <cell r="K35">
            <v>7074.0086185890577</v>
          </cell>
        </row>
        <row r="36">
          <cell r="A36">
            <v>9</v>
          </cell>
          <cell r="K36">
            <v>7309.8089058753594</v>
          </cell>
        </row>
        <row r="37">
          <cell r="A37">
            <v>10</v>
          </cell>
          <cell r="K37">
            <v>7553.4692027378724</v>
          </cell>
        </row>
        <row r="38">
          <cell r="A38">
            <v>11</v>
          </cell>
          <cell r="K38">
            <v>7805.2515094958017</v>
          </cell>
        </row>
        <row r="39">
          <cell r="A39">
            <v>12</v>
          </cell>
          <cell r="K39">
            <v>8065.4265598123302</v>
          </cell>
        </row>
        <row r="40">
          <cell r="A40">
            <v>13</v>
          </cell>
          <cell r="K40">
            <v>8267.0622238076376</v>
          </cell>
        </row>
        <row r="41">
          <cell r="A41">
            <v>14</v>
          </cell>
          <cell r="K41">
            <v>8473.7387794028273</v>
          </cell>
        </row>
        <row r="42">
          <cell r="A42">
            <v>15</v>
          </cell>
          <cell r="K42">
            <v>8685.5822488878985</v>
          </cell>
        </row>
        <row r="43">
          <cell r="A43">
            <v>16</v>
          </cell>
          <cell r="K43">
            <v>8902.7218051100954</v>
          </cell>
        </row>
        <row r="44">
          <cell r="A44">
            <v>17</v>
          </cell>
          <cell r="K44">
            <v>9125.2898502378466</v>
          </cell>
        </row>
        <row r="45">
          <cell r="A45">
            <v>18</v>
          </cell>
          <cell r="K45">
            <v>9353.4220964937922</v>
          </cell>
        </row>
        <row r="46">
          <cell r="A46">
            <v>19</v>
          </cell>
          <cell r="K46">
            <v>9587.2576489061357</v>
          </cell>
        </row>
        <row r="47">
          <cell r="A47">
            <v>20</v>
          </cell>
          <cell r="K47">
            <v>9826.9390901287898</v>
          </cell>
        </row>
        <row r="48">
          <cell r="A48">
            <v>21</v>
          </cell>
          <cell r="K48">
            <v>10072.61256738201</v>
          </cell>
        </row>
        <row r="49">
          <cell r="A49">
            <v>22</v>
          </cell>
          <cell r="K49">
            <v>10324.427881566558</v>
          </cell>
        </row>
        <row r="50">
          <cell r="A50">
            <v>23</v>
          </cell>
          <cell r="K50">
            <v>10582.538578605723</v>
          </cell>
        </row>
        <row r="51">
          <cell r="A51">
            <v>24</v>
          </cell>
          <cell r="K51">
            <v>10847.102043070865</v>
          </cell>
        </row>
        <row r="52">
          <cell r="A52">
            <v>25</v>
          </cell>
          <cell r="K52">
            <v>11073.083335634841</v>
          </cell>
        </row>
        <row r="53">
          <cell r="A53">
            <v>26</v>
          </cell>
          <cell r="K53">
            <v>11303.772571793897</v>
          </cell>
        </row>
        <row r="54">
          <cell r="A54">
            <v>27</v>
          </cell>
          <cell r="K54">
            <v>11539.26783370627</v>
          </cell>
        </row>
        <row r="55">
          <cell r="A55">
            <v>28</v>
          </cell>
          <cell r="K55">
            <v>11779.669246908483</v>
          </cell>
        </row>
        <row r="56">
          <cell r="A56">
            <v>29</v>
          </cell>
          <cell r="K56">
            <v>12025.079022885742</v>
          </cell>
        </row>
        <row r="57">
          <cell r="A57">
            <v>30</v>
          </cell>
          <cell r="K57">
            <v>12275.601502529194</v>
          </cell>
        </row>
        <row r="58">
          <cell r="A58">
            <v>31</v>
          </cell>
          <cell r="K58">
            <v>12531.34320049855</v>
          </cell>
        </row>
        <row r="59">
          <cell r="A59">
            <v>32</v>
          </cell>
          <cell r="K59">
            <v>12792.412850508937</v>
          </cell>
        </row>
        <row r="60">
          <cell r="A60">
            <v>33</v>
          </cell>
          <cell r="K60">
            <v>13058.921451561206</v>
          </cell>
        </row>
        <row r="61">
          <cell r="A61">
            <v>34</v>
          </cell>
          <cell r="K61">
            <v>13330.982315135396</v>
          </cell>
        </row>
        <row r="62">
          <cell r="A62">
            <v>35</v>
          </cell>
          <cell r="K62">
            <v>13608.711113367382</v>
          </cell>
        </row>
        <row r="63">
          <cell r="A63">
            <v>36</v>
          </cell>
          <cell r="K63">
            <v>13892.225928229202</v>
          </cell>
        </row>
        <row r="64">
          <cell r="A64">
            <v>37</v>
          </cell>
          <cell r="K64">
            <v>14123.763027033021</v>
          </cell>
        </row>
        <row r="65">
          <cell r="A65">
            <v>38</v>
          </cell>
          <cell r="K65">
            <v>14359.159077483571</v>
          </cell>
        </row>
        <row r="66">
          <cell r="A66">
            <v>39</v>
          </cell>
          <cell r="K66">
            <v>14598.478395441631</v>
          </cell>
        </row>
        <row r="67">
          <cell r="A67">
            <v>40</v>
          </cell>
          <cell r="K67">
            <v>14841.786368698989</v>
          </cell>
        </row>
        <row r="68">
          <cell r="A68">
            <v>41</v>
          </cell>
          <cell r="K68">
            <v>15089.149474843973</v>
          </cell>
        </row>
        <row r="69">
          <cell r="A69">
            <v>42</v>
          </cell>
          <cell r="K69">
            <v>15340.635299424704</v>
          </cell>
        </row>
        <row r="70">
          <cell r="A70">
            <v>43</v>
          </cell>
          <cell r="K70">
            <v>15596.312554415115</v>
          </cell>
        </row>
        <row r="71">
          <cell r="A71">
            <v>44</v>
          </cell>
          <cell r="K71">
            <v>15856.251096988699</v>
          </cell>
        </row>
        <row r="72">
          <cell r="A72">
            <v>45</v>
          </cell>
          <cell r="K72">
            <v>16120.521948605177</v>
          </cell>
        </row>
        <row r="73">
          <cell r="A73">
            <v>46</v>
          </cell>
          <cell r="K73">
            <v>16389.197314415262</v>
          </cell>
        </row>
        <row r="74">
          <cell r="A74">
            <v>47</v>
          </cell>
          <cell r="K74">
            <v>16662.350602988849</v>
          </cell>
        </row>
        <row r="75">
          <cell r="A75">
            <v>48</v>
          </cell>
          <cell r="K75">
            <v>16940.056446371993</v>
          </cell>
        </row>
        <row r="76">
          <cell r="A76">
            <v>49</v>
          </cell>
          <cell r="K76">
            <v>17222.390720478194</v>
          </cell>
        </row>
        <row r="77">
          <cell r="A77">
            <v>50</v>
          </cell>
          <cell r="K77">
            <v>17509.430565819497</v>
          </cell>
        </row>
        <row r="78">
          <cell r="A78">
            <v>51</v>
          </cell>
          <cell r="K78">
            <v>17801.254408583154</v>
          </cell>
        </row>
        <row r="79">
          <cell r="A79">
            <v>52</v>
          </cell>
          <cell r="K79">
            <v>18097.941982059539</v>
          </cell>
        </row>
        <row r="80">
          <cell r="A80">
            <v>53</v>
          </cell>
          <cell r="K80">
            <v>18399.574348427195</v>
          </cell>
        </row>
        <row r="81">
          <cell r="A81">
            <v>54</v>
          </cell>
          <cell r="K81">
            <v>18706.233920900984</v>
          </cell>
        </row>
        <row r="82">
          <cell r="A82">
            <v>55</v>
          </cell>
          <cell r="K82">
            <v>19018.004486249331</v>
          </cell>
        </row>
        <row r="83">
          <cell r="A83">
            <v>56</v>
          </cell>
          <cell r="K83">
            <v>19334.971227686819</v>
          </cell>
        </row>
        <row r="84">
          <cell r="A84">
            <v>57</v>
          </cell>
          <cell r="K84">
            <v>19657.220748148266</v>
          </cell>
        </row>
        <row r="85">
          <cell r="A85">
            <v>58</v>
          </cell>
          <cell r="K85">
            <v>19984.841093950738</v>
          </cell>
        </row>
        <row r="86">
          <cell r="A86">
            <v>59</v>
          </cell>
          <cell r="K86">
            <v>20317.921778849915</v>
          </cell>
        </row>
        <row r="87">
          <cell r="A87">
            <v>60</v>
          </cell>
          <cell r="K87">
            <v>20656.553808497411</v>
          </cell>
        </row>
        <row r="88">
          <cell r="A88">
            <v>61</v>
          </cell>
          <cell r="K88">
            <v>21000.829705305699</v>
          </cell>
        </row>
        <row r="89">
          <cell r="A89">
            <v>62</v>
          </cell>
          <cell r="K89">
            <v>21350.84353372746</v>
          </cell>
        </row>
        <row r="90">
          <cell r="A90">
            <v>63</v>
          </cell>
          <cell r="K90">
            <v>21706.690925956249</v>
          </cell>
        </row>
        <row r="91">
          <cell r="A91">
            <v>64</v>
          </cell>
          <cell r="K91">
            <v>22068.46910805552</v>
          </cell>
        </row>
        <row r="92">
          <cell r="A92">
            <v>65</v>
          </cell>
          <cell r="K92">
            <v>22436.276926523111</v>
          </cell>
        </row>
        <row r="93">
          <cell r="A93">
            <v>66</v>
          </cell>
          <cell r="K93">
            <v>22810.214875298494</v>
          </cell>
        </row>
        <row r="94">
          <cell r="A94">
            <v>67</v>
          </cell>
          <cell r="K94">
            <v>23190.385123220138</v>
          </cell>
        </row>
        <row r="95">
          <cell r="A95">
            <v>68</v>
          </cell>
          <cell r="K95">
            <v>23576.891541940469</v>
          </cell>
        </row>
        <row r="96">
          <cell r="A96">
            <v>69</v>
          </cell>
          <cell r="K96">
            <v>23969.839734306141</v>
          </cell>
        </row>
        <row r="97">
          <cell r="A97">
            <v>70</v>
          </cell>
          <cell r="K97">
            <v>24369.337063211242</v>
          </cell>
        </row>
        <row r="98">
          <cell r="A98">
            <v>71</v>
          </cell>
          <cell r="K98">
            <v>24775.492680931431</v>
          </cell>
        </row>
        <row r="99">
          <cell r="A99">
            <v>72</v>
          </cell>
          <cell r="K99">
            <v>25188.417558946952</v>
          </cell>
        </row>
        <row r="100">
          <cell r="A100">
            <v>73</v>
          </cell>
          <cell r="K100">
            <v>25608.224518262734</v>
          </cell>
        </row>
        <row r="101">
          <cell r="A101">
            <v>74</v>
          </cell>
          <cell r="K101">
            <v>26035.028260233776</v>
          </cell>
        </row>
        <row r="102">
          <cell r="A102">
            <v>75</v>
          </cell>
          <cell r="K102">
            <v>26468.945397904339</v>
          </cell>
        </row>
        <row r="103">
          <cell r="A103">
            <v>76</v>
          </cell>
          <cell r="K103">
            <v>26910.094487869406</v>
          </cell>
        </row>
        <row r="104">
          <cell r="A104">
            <v>77</v>
          </cell>
          <cell r="K104">
            <v>27358.596062667231</v>
          </cell>
        </row>
        <row r="105">
          <cell r="A105">
            <v>78</v>
          </cell>
          <cell r="K105">
            <v>27814.572663711682</v>
          </cell>
        </row>
        <row r="106">
          <cell r="A106">
            <v>79</v>
          </cell>
          <cell r="K106">
            <v>28278.148874773542</v>
          </cell>
        </row>
        <row r="107">
          <cell r="A107">
            <v>80</v>
          </cell>
          <cell r="K107">
            <v>28749.451356019767</v>
          </cell>
        </row>
        <row r="108">
          <cell r="A108">
            <v>81</v>
          </cell>
          <cell r="K108">
            <v>29228.608878620093</v>
          </cell>
        </row>
        <row r="109">
          <cell r="A109">
            <v>82</v>
          </cell>
          <cell r="K109">
            <v>29715.752359930422</v>
          </cell>
        </row>
        <row r="110">
          <cell r="A110">
            <v>83</v>
          </cell>
          <cell r="K110">
            <v>30211.014899262595</v>
          </cell>
        </row>
        <row r="111">
          <cell r="A111">
            <v>84</v>
          </cell>
          <cell r="K111">
            <v>30714.531814250302</v>
          </cell>
        </row>
        <row r="112">
          <cell r="A112">
            <v>85</v>
          </cell>
          <cell r="K112">
            <v>31226.440677821138</v>
          </cell>
        </row>
        <row r="113">
          <cell r="A113">
            <v>86</v>
          </cell>
          <cell r="K113">
            <v>31746.881355784826</v>
          </cell>
        </row>
        <row r="114">
          <cell r="A114">
            <v>87</v>
          </cell>
          <cell r="K114">
            <v>32275.996045047905</v>
          </cell>
        </row>
        <row r="115">
          <cell r="A115">
            <v>88</v>
          </cell>
          <cell r="K115">
            <v>32813.92931246537</v>
          </cell>
        </row>
        <row r="116">
          <cell r="A116">
            <v>89</v>
          </cell>
          <cell r="K116">
            <v>33360.82813433979</v>
          </cell>
        </row>
        <row r="117">
          <cell r="A117">
            <v>90</v>
          </cell>
          <cell r="K117">
            <v>33916.841936578785</v>
          </cell>
        </row>
        <row r="118">
          <cell r="A118">
            <v>91</v>
          </cell>
          <cell r="K118">
            <v>34482.122635521759</v>
          </cell>
        </row>
        <row r="119">
          <cell r="A119">
            <v>92</v>
          </cell>
          <cell r="K119">
            <v>35056.82467944712</v>
          </cell>
        </row>
        <row r="120">
          <cell r="A120">
            <v>93</v>
          </cell>
          <cell r="K120">
            <v>35641.105090771242</v>
          </cell>
        </row>
        <row r="121">
          <cell r="A121">
            <v>94</v>
          </cell>
          <cell r="K121">
            <v>36235.123508950754</v>
          </cell>
        </row>
        <row r="122">
          <cell r="A122">
            <v>95</v>
          </cell>
          <cell r="K122">
            <v>36839.042234099928</v>
          </cell>
        </row>
        <row r="123">
          <cell r="A123">
            <v>96</v>
          </cell>
          <cell r="K123">
            <v>37453.026271334929</v>
          </cell>
        </row>
        <row r="124">
          <cell r="A124">
            <v>97</v>
          </cell>
          <cell r="K124">
            <v>38077.243375857179</v>
          </cell>
        </row>
        <row r="125">
          <cell r="A125">
            <v>98</v>
          </cell>
          <cell r="K125">
            <v>38711.86409878813</v>
          </cell>
        </row>
        <row r="126">
          <cell r="A126">
            <v>99</v>
          </cell>
          <cell r="K126">
            <v>39357.061833767933</v>
          </cell>
        </row>
        <row r="127">
          <cell r="A127">
            <v>100</v>
          </cell>
          <cell r="K127">
            <v>40013.012864330725</v>
          </cell>
        </row>
        <row r="128">
          <cell r="A128">
            <v>101</v>
          </cell>
          <cell r="K128">
            <v>40679.896412069567</v>
          </cell>
        </row>
        <row r="129">
          <cell r="A129">
            <v>102</v>
          </cell>
          <cell r="K129">
            <v>41357.894685604064</v>
          </cell>
        </row>
        <row r="130">
          <cell r="A130">
            <v>103</v>
          </cell>
          <cell r="K130">
            <v>42047.19293036413</v>
          </cell>
        </row>
        <row r="131">
          <cell r="A131">
            <v>104</v>
          </cell>
          <cell r="K131">
            <v>42747.979479203525</v>
          </cell>
        </row>
        <row r="132">
          <cell r="A132">
            <v>105</v>
          </cell>
          <cell r="K132">
            <v>43460.445803856914</v>
          </cell>
        </row>
        <row r="133">
          <cell r="A133">
            <v>106</v>
          </cell>
          <cell r="K133">
            <v>44184.78656725453</v>
          </cell>
        </row>
        <row r="134">
          <cell r="A134">
            <v>107</v>
          </cell>
          <cell r="K134">
            <v>44921.199676708769</v>
          </cell>
        </row>
        <row r="135">
          <cell r="A135">
            <v>108</v>
          </cell>
          <cell r="K135">
            <v>45669.886337987242</v>
          </cell>
        </row>
        <row r="136">
          <cell r="A136">
            <v>109</v>
          </cell>
          <cell r="K136">
            <v>46431.051110287037</v>
          </cell>
        </row>
        <row r="137">
          <cell r="A137">
            <v>110</v>
          </cell>
          <cell r="K137">
            <v>47204.901962125143</v>
          </cell>
        </row>
        <row r="138">
          <cell r="A138">
            <v>111</v>
          </cell>
          <cell r="K138">
            <v>47991.650328160562</v>
          </cell>
        </row>
        <row r="139">
          <cell r="A139">
            <v>112</v>
          </cell>
          <cell r="K139">
            <v>48791.511166963232</v>
          </cell>
        </row>
        <row r="140">
          <cell r="A140">
            <v>113</v>
          </cell>
          <cell r="K140">
            <v>49604.703019745946</v>
          </cell>
        </row>
        <row r="141">
          <cell r="A141">
            <v>114</v>
          </cell>
          <cell r="K141">
            <v>50431.44807007505</v>
          </cell>
        </row>
        <row r="142">
          <cell r="A142">
            <v>115</v>
          </cell>
          <cell r="K142">
            <v>51271.972204576297</v>
          </cell>
        </row>
        <row r="143">
          <cell r="A143">
            <v>116</v>
          </cell>
          <cell r="K143">
            <v>52126.505074652567</v>
          </cell>
        </row>
        <row r="144">
          <cell r="A144">
            <v>117</v>
          </cell>
          <cell r="K144">
            <v>52995.280159230104</v>
          </cell>
        </row>
        <row r="145">
          <cell r="A145">
            <v>118</v>
          </cell>
          <cell r="K145">
            <v>53878.534828550597</v>
          </cell>
        </row>
        <row r="146">
          <cell r="A146">
            <v>119</v>
          </cell>
          <cell r="K146">
            <v>54776.510409026443</v>
          </cell>
        </row>
        <row r="147">
          <cell r="A147">
            <v>120</v>
          </cell>
          <cell r="K147">
            <v>55689.45224917688</v>
          </cell>
        </row>
        <row r="148">
          <cell r="A148">
            <v>121</v>
          </cell>
          <cell r="K148">
            <v>56617.609786663161</v>
          </cell>
        </row>
        <row r="149">
          <cell r="A149">
            <v>122</v>
          </cell>
          <cell r="K149">
            <v>57561.236616440874</v>
          </cell>
        </row>
        <row r="150">
          <cell r="A150">
            <v>123</v>
          </cell>
          <cell r="K150">
            <v>58520.590560048222</v>
          </cell>
        </row>
        <row r="151">
          <cell r="A151">
            <v>124</v>
          </cell>
          <cell r="K151">
            <v>59495.933736049024</v>
          </cell>
        </row>
        <row r="152">
          <cell r="A152">
            <v>125</v>
          </cell>
          <cell r="K152">
            <v>60487.532631649832</v>
          </cell>
        </row>
        <row r="153">
          <cell r="A153">
            <v>126</v>
          </cell>
          <cell r="K153">
            <v>61495.65817551066</v>
          </cell>
        </row>
        <row r="154">
          <cell r="A154">
            <v>127</v>
          </cell>
          <cell r="K154">
            <v>62520.585811769161</v>
          </cell>
        </row>
        <row r="155">
          <cell r="A155">
            <v>128</v>
          </cell>
          <cell r="K155">
            <v>63562.595575298648</v>
          </cell>
        </row>
        <row r="156">
          <cell r="A156">
            <v>129</v>
          </cell>
          <cell r="K156">
            <v>64621.972168220294</v>
          </cell>
        </row>
        <row r="157">
          <cell r="A157">
            <v>130</v>
          </cell>
          <cell r="K157">
            <v>65699.005037690629</v>
          </cell>
        </row>
        <row r="158">
          <cell r="A158">
            <v>131</v>
          </cell>
          <cell r="K158">
            <v>66793.988454985476</v>
          </cell>
        </row>
        <row r="159">
          <cell r="A159">
            <v>132</v>
          </cell>
          <cell r="K159">
            <v>67907.221595901894</v>
          </cell>
        </row>
        <row r="160">
          <cell r="A160">
            <v>133</v>
          </cell>
          <cell r="K160">
            <v>69039.00862250026</v>
          </cell>
        </row>
        <row r="161">
          <cell r="A161">
            <v>134</v>
          </cell>
          <cell r="K161">
            <v>70189.658766208595</v>
          </cell>
        </row>
        <row r="162">
          <cell r="A162">
            <v>135</v>
          </cell>
          <cell r="K162">
            <v>71359.486412312064</v>
          </cell>
        </row>
        <row r="163">
          <cell r="A163">
            <v>136</v>
          </cell>
          <cell r="K163">
            <v>72548.811185850602</v>
          </cell>
        </row>
        <row r="164">
          <cell r="A164">
            <v>137</v>
          </cell>
          <cell r="K164">
            <v>73757.958038948113</v>
          </cell>
        </row>
        <row r="165">
          <cell r="A165">
            <v>138</v>
          </cell>
          <cell r="K165">
            <v>74987.257339597243</v>
          </cell>
        </row>
        <row r="166">
          <cell r="A166">
            <v>139</v>
          </cell>
          <cell r="K166">
            <v>76237.044961923864</v>
          </cell>
        </row>
        <row r="167">
          <cell r="A167">
            <v>140</v>
          </cell>
          <cell r="K167">
            <v>77507.662377955916</v>
          </cell>
        </row>
        <row r="168">
          <cell r="A168">
            <v>141</v>
          </cell>
          <cell r="K168">
            <v>78799.456750921861</v>
          </cell>
        </row>
        <row r="169">
          <cell r="A169">
            <v>142</v>
          </cell>
          <cell r="K169">
            <v>80112.781030103884</v>
          </cell>
        </row>
        <row r="170">
          <cell r="A170">
            <v>143</v>
          </cell>
          <cell r="K170">
            <v>81447.994047272266</v>
          </cell>
        </row>
        <row r="171">
          <cell r="A171">
            <v>144</v>
          </cell>
          <cell r="K171">
            <v>82805.460614726791</v>
          </cell>
        </row>
        <row r="172">
          <cell r="A172">
            <v>145</v>
          </cell>
          <cell r="K172">
            <v>84185.551624972242</v>
          </cell>
        </row>
        <row r="173">
          <cell r="A173">
            <v>146</v>
          </cell>
          <cell r="K173">
            <v>85588.644152055116</v>
          </cell>
        </row>
        <row r="174">
          <cell r="A174">
            <v>147</v>
          </cell>
          <cell r="K174">
            <v>87015.121554589365</v>
          </cell>
        </row>
        <row r="175">
          <cell r="A175">
            <v>148</v>
          </cell>
          <cell r="K175">
            <v>88465.373580499188</v>
          </cell>
        </row>
        <row r="176">
          <cell r="A176">
            <v>149</v>
          </cell>
          <cell r="K176">
            <v>89939.796473507507</v>
          </cell>
        </row>
        <row r="177">
          <cell r="A177">
            <v>150</v>
          </cell>
          <cell r="K177">
            <v>91438.793081399286</v>
          </cell>
        </row>
        <row r="178">
          <cell r="A178">
            <v>151</v>
          </cell>
          <cell r="K178">
            <v>92962.772966089266</v>
          </cell>
        </row>
        <row r="179">
          <cell r="A179">
            <v>152</v>
          </cell>
          <cell r="K179">
            <v>94512.152515524082</v>
          </cell>
        </row>
        <row r="180">
          <cell r="A180">
            <v>153</v>
          </cell>
          <cell r="K180">
            <v>96087.355057449488</v>
          </cell>
        </row>
        <row r="181">
          <cell r="A181">
            <v>154</v>
          </cell>
          <cell r="K181">
            <v>97688.810975073648</v>
          </cell>
        </row>
        <row r="182">
          <cell r="A182">
            <v>155</v>
          </cell>
          <cell r="K182">
            <v>99316.957824658195</v>
          </cell>
        </row>
        <row r="183">
          <cell r="A183">
            <v>156</v>
          </cell>
          <cell r="K183">
            <v>100972.24045506916</v>
          </cell>
        </row>
        <row r="184">
          <cell r="A184">
            <v>157</v>
          </cell>
          <cell r="K184">
            <v>102655.11112932031</v>
          </cell>
        </row>
        <row r="185">
          <cell r="A185">
            <v>158</v>
          </cell>
          <cell r="K185">
            <v>104366.02964814231</v>
          </cell>
        </row>
        <row r="186">
          <cell r="A186">
            <v>159</v>
          </cell>
          <cell r="K186">
            <v>106105.46347561134</v>
          </cell>
        </row>
        <row r="187">
          <cell r="A187">
            <v>160</v>
          </cell>
          <cell r="K187">
            <v>107873.88786687152</v>
          </cell>
        </row>
        <row r="188">
          <cell r="A188">
            <v>161</v>
          </cell>
          <cell r="K188">
            <v>109671.78599798604</v>
          </cell>
        </row>
        <row r="189">
          <cell r="A189">
            <v>162</v>
          </cell>
          <cell r="K189">
            <v>111499.64909795245</v>
          </cell>
        </row>
        <row r="190">
          <cell r="A190">
            <v>163</v>
          </cell>
          <cell r="K190">
            <v>113357.97658291832</v>
          </cell>
        </row>
        <row r="191">
          <cell r="A191">
            <v>164</v>
          </cell>
          <cell r="K191">
            <v>115247.27619263361</v>
          </cell>
        </row>
        <row r="192">
          <cell r="A192">
            <v>165</v>
          </cell>
          <cell r="K192">
            <v>117168.0641291775</v>
          </cell>
        </row>
        <row r="193">
          <cell r="A193">
            <v>166</v>
          </cell>
          <cell r="K193">
            <v>119120.86519799712</v>
          </cell>
        </row>
        <row r="194">
          <cell r="A194">
            <v>167</v>
          </cell>
          <cell r="K194">
            <v>121106.21295129706</v>
          </cell>
        </row>
        <row r="195">
          <cell r="A195">
            <v>168</v>
          </cell>
          <cell r="K195">
            <v>123124.64983381868</v>
          </cell>
        </row>
        <row r="196">
          <cell r="A196">
            <v>169</v>
          </cell>
          <cell r="K196">
            <v>125176.72733104898</v>
          </cell>
        </row>
        <row r="197">
          <cell r="A197">
            <v>170</v>
          </cell>
          <cell r="K197">
            <v>127263.0061198998</v>
          </cell>
        </row>
        <row r="198">
          <cell r="A198">
            <v>171</v>
          </cell>
          <cell r="K198">
            <v>129384.05622189812</v>
          </cell>
        </row>
        <row r="199">
          <cell r="A199">
            <v>172</v>
          </cell>
          <cell r="K199">
            <v>131540.45715892976</v>
          </cell>
        </row>
        <row r="200">
          <cell r="A200">
            <v>173</v>
          </cell>
          <cell r="K200">
            <v>133732.79811157857</v>
          </cell>
        </row>
        <row r="201">
          <cell r="A201">
            <v>174</v>
          </cell>
          <cell r="K201">
            <v>135961.67808010487</v>
          </cell>
        </row>
        <row r="202">
          <cell r="A202">
            <v>175</v>
          </cell>
          <cell r="K202">
            <v>138227.7060481066</v>
          </cell>
        </row>
        <row r="203">
          <cell r="A203">
            <v>176</v>
          </cell>
          <cell r="K203">
            <v>140531.50114890837</v>
          </cell>
        </row>
        <row r="204">
          <cell r="A204">
            <v>177</v>
          </cell>
          <cell r="K204">
            <v>142873.69283472351</v>
          </cell>
        </row>
        <row r="205">
          <cell r="A205">
            <v>178</v>
          </cell>
          <cell r="K205">
            <v>145254.92104863556</v>
          </cell>
        </row>
        <row r="206">
          <cell r="A206">
            <v>179</v>
          </cell>
          <cell r="K206">
            <v>147675.83639944615</v>
          </cell>
        </row>
        <row r="207">
          <cell r="A207">
            <v>180</v>
          </cell>
          <cell r="K207">
            <v>150137.1003394369</v>
          </cell>
        </row>
        <row r="208">
          <cell r="A208">
            <v>181</v>
          </cell>
          <cell r="K208">
            <v>152639.38534509417</v>
          </cell>
        </row>
        <row r="209">
          <cell r="A209">
            <v>182</v>
          </cell>
          <cell r="K209">
            <v>155183.3751008457</v>
          </cell>
        </row>
        <row r="210">
          <cell r="A210">
            <v>183</v>
          </cell>
          <cell r="K210">
            <v>157769.76468585979</v>
          </cell>
        </row>
        <row r="211">
          <cell r="A211">
            <v>184</v>
          </cell>
          <cell r="K211">
            <v>160399.26076395746</v>
          </cell>
        </row>
        <row r="212">
          <cell r="A212">
            <v>185</v>
          </cell>
          <cell r="K212">
            <v>163072.58177669006</v>
          </cell>
        </row>
        <row r="213">
          <cell r="A213">
            <v>186</v>
          </cell>
          <cell r="K213">
            <v>165790.45813963492</v>
          </cell>
        </row>
        <row r="214">
          <cell r="A214">
            <v>187</v>
          </cell>
          <cell r="K214">
            <v>168553.63244196214</v>
          </cell>
        </row>
        <row r="215">
          <cell r="A215">
            <v>188</v>
          </cell>
          <cell r="K215">
            <v>171362.85964932817</v>
          </cell>
        </row>
        <row r="216">
          <cell r="A216">
            <v>189</v>
          </cell>
          <cell r="K216">
            <v>174218.9073101503</v>
          </cell>
        </row>
        <row r="217">
          <cell r="A217">
            <v>190</v>
          </cell>
          <cell r="K217">
            <v>177122.55576531947</v>
          </cell>
        </row>
        <row r="218">
          <cell r="A218">
            <v>191</v>
          </cell>
          <cell r="K218">
            <v>180074.59836140811</v>
          </cell>
        </row>
        <row r="219">
          <cell r="A219">
            <v>192</v>
          </cell>
          <cell r="K219">
            <v>183075.84166743155</v>
          </cell>
        </row>
        <row r="220">
          <cell r="A220">
            <v>193</v>
          </cell>
          <cell r="K220">
            <v>186127.1056952221</v>
          </cell>
        </row>
        <row r="221">
          <cell r="A221">
            <v>194</v>
          </cell>
          <cell r="K221">
            <v>189229.22412347575</v>
          </cell>
        </row>
        <row r="222">
          <cell r="A222">
            <v>195</v>
          </cell>
          <cell r="K222">
            <v>192383.04452553371</v>
          </cell>
        </row>
        <row r="223">
          <cell r="A223">
            <v>196</v>
          </cell>
          <cell r="K223">
            <v>195589.42860095925</v>
          </cell>
        </row>
        <row r="224">
          <cell r="A224">
            <v>197</v>
          </cell>
          <cell r="K224">
            <v>198849.25241097523</v>
          </cell>
        </row>
        <row r="225">
          <cell r="A225">
            <v>198</v>
          </cell>
          <cell r="K225">
            <v>202163.4066178248</v>
          </cell>
        </row>
        <row r="226">
          <cell r="A226">
            <v>199</v>
          </cell>
          <cell r="K226">
            <v>205532.79672812187</v>
          </cell>
        </row>
        <row r="227">
          <cell r="A227">
            <v>200</v>
          </cell>
          <cell r="K227">
            <v>208958.34334025724</v>
          </cell>
        </row>
        <row r="228">
          <cell r="A228">
            <v>201</v>
          </cell>
          <cell r="K228">
            <v>212440.98239592821</v>
          </cell>
        </row>
        <row r="229">
          <cell r="A229">
            <v>202</v>
          </cell>
          <cell r="K229">
            <v>215981.66543586031</v>
          </cell>
        </row>
        <row r="230">
          <cell r="A230">
            <v>203</v>
          </cell>
          <cell r="K230">
            <v>219581.35985979129</v>
          </cell>
        </row>
        <row r="231">
          <cell r="A231">
            <v>204</v>
          </cell>
          <cell r="K231">
            <v>223241.0491907878</v>
          </cell>
        </row>
        <row r="232">
          <cell r="A232">
            <v>205</v>
          </cell>
          <cell r="K232">
            <v>226961.73334396756</v>
          </cell>
        </row>
        <row r="233">
          <cell r="A233">
            <v>206</v>
          </cell>
          <cell r="K233">
            <v>230744.42889970035</v>
          </cell>
        </row>
        <row r="234">
          <cell r="A234">
            <v>207</v>
          </cell>
          <cell r="K234">
            <v>234590.16938136201</v>
          </cell>
        </row>
        <row r="235">
          <cell r="A235">
            <v>208</v>
          </cell>
          <cell r="K235">
            <v>238500.00553771801</v>
          </cell>
        </row>
        <row r="236">
          <cell r="A236">
            <v>209</v>
          </cell>
          <cell r="K236">
            <v>242475.0056300133</v>
          </cell>
        </row>
        <row r="237">
          <cell r="A237">
            <v>210</v>
          </cell>
          <cell r="K237">
            <v>246516.25572384684</v>
          </cell>
        </row>
        <row r="238">
          <cell r="A238">
            <v>211</v>
          </cell>
          <cell r="K238">
            <v>250624.85998591091</v>
          </cell>
        </row>
        <row r="239">
          <cell r="A239">
            <v>212</v>
          </cell>
          <cell r="K239">
            <v>254801.94098567608</v>
          </cell>
        </row>
        <row r="240">
          <cell r="A240">
            <v>213</v>
          </cell>
          <cell r="K240">
            <v>259048.64000210399</v>
          </cell>
        </row>
        <row r="241">
          <cell r="A241">
            <v>214</v>
          </cell>
          <cell r="K241">
            <v>263366.11733547237</v>
          </cell>
        </row>
        <row r="242">
          <cell r="A242">
            <v>215</v>
          </cell>
          <cell r="K242">
            <v>267755.55262439692</v>
          </cell>
        </row>
        <row r="243">
          <cell r="A243">
            <v>216</v>
          </cell>
          <cell r="K243">
            <v>272218.14516813686</v>
          </cell>
        </row>
        <row r="244">
          <cell r="A244">
            <v>217</v>
          </cell>
          <cell r="K244">
            <v>276755.11425427248</v>
          </cell>
        </row>
        <row r="245">
          <cell r="A245">
            <v>218</v>
          </cell>
          <cell r="K245">
            <v>281367.6994918437</v>
          </cell>
        </row>
        <row r="246">
          <cell r="A246">
            <v>219</v>
          </cell>
          <cell r="K246">
            <v>286057.16115004104</v>
          </cell>
        </row>
        <row r="247">
          <cell r="A247">
            <v>220</v>
          </cell>
          <cell r="K247">
            <v>290824.78050254169</v>
          </cell>
        </row>
        <row r="248">
          <cell r="A248">
            <v>221</v>
          </cell>
          <cell r="K248">
            <v>295671.86017758405</v>
          </cell>
        </row>
        <row r="249">
          <cell r="A249">
            <v>222</v>
          </cell>
          <cell r="K249">
            <v>300599.72451387712</v>
          </cell>
        </row>
        <row r="250">
          <cell r="A250">
            <v>223</v>
          </cell>
          <cell r="K250">
            <v>305609.7199224417</v>
          </cell>
        </row>
        <row r="251">
          <cell r="A251">
            <v>224</v>
          </cell>
          <cell r="K251">
            <v>310703.21525448235</v>
          </cell>
        </row>
        <row r="252">
          <cell r="A252">
            <v>225</v>
          </cell>
          <cell r="K252">
            <v>315881.60217539041</v>
          </cell>
        </row>
        <row r="253">
          <cell r="A253">
            <v>226</v>
          </cell>
          <cell r="K253">
            <v>321146.29554498021</v>
          </cell>
        </row>
        <row r="254">
          <cell r="A254">
            <v>227</v>
          </cell>
          <cell r="K254">
            <v>326498.73380406317</v>
          </cell>
        </row>
        <row r="255">
          <cell r="A255">
            <v>228</v>
          </cell>
          <cell r="K255">
            <v>331940.37936746422</v>
          </cell>
        </row>
        <row r="256">
          <cell r="A256">
            <v>229</v>
          </cell>
          <cell r="K256">
            <v>337472.71902358858</v>
          </cell>
        </row>
        <row r="257">
          <cell r="A257">
            <v>230</v>
          </cell>
          <cell r="K257">
            <v>343097.26434064837</v>
          </cell>
        </row>
        <row r="258">
          <cell r="A258">
            <v>231</v>
          </cell>
          <cell r="K258">
            <v>348815.55207965919</v>
          </cell>
        </row>
        <row r="259">
          <cell r="A259">
            <v>232</v>
          </cell>
          <cell r="K259">
            <v>354629.14461432013</v>
          </cell>
        </row>
        <row r="260">
          <cell r="A260">
            <v>233</v>
          </cell>
          <cell r="K260">
            <v>360539.63035789214</v>
          </cell>
        </row>
        <row r="261">
          <cell r="A261">
            <v>234</v>
          </cell>
          <cell r="K261">
            <v>366548.62419719034</v>
          </cell>
        </row>
        <row r="262">
          <cell r="A262">
            <v>235</v>
          </cell>
          <cell r="K262">
            <v>372657.76793381013</v>
          </cell>
        </row>
        <row r="263">
          <cell r="A263">
            <v>236</v>
          </cell>
          <cell r="K263">
            <v>378868.7307327069</v>
          </cell>
        </row>
        <row r="264">
          <cell r="A264">
            <v>237</v>
          </cell>
          <cell r="K264">
            <v>385183.20957825199</v>
          </cell>
        </row>
        <row r="265">
          <cell r="A265">
            <v>238</v>
          </cell>
          <cell r="K265">
            <v>391602.9297378895</v>
          </cell>
        </row>
        <row r="266">
          <cell r="A266">
            <v>239</v>
          </cell>
          <cell r="K266">
            <v>398129.64523352095</v>
          </cell>
        </row>
        <row r="267">
          <cell r="A267">
            <v>240</v>
          </cell>
          <cell r="K267">
            <v>404765.1393207463</v>
          </cell>
        </row>
        <row r="268">
          <cell r="A268">
            <v>241</v>
          </cell>
          <cell r="K268">
            <v>411511.22497609205</v>
          </cell>
        </row>
        <row r="269">
          <cell r="A269">
            <v>242</v>
          </cell>
          <cell r="K269">
            <v>418369.7453923602</v>
          </cell>
        </row>
        <row r="270">
          <cell r="A270">
            <v>243</v>
          </cell>
          <cell r="K270">
            <v>425342.57448223286</v>
          </cell>
        </row>
        <row r="271">
          <cell r="A271">
            <v>244</v>
          </cell>
          <cell r="K271">
            <v>432431.61739027005</v>
          </cell>
        </row>
        <row r="272">
          <cell r="A272">
            <v>245</v>
          </cell>
          <cell r="K272">
            <v>439638.81101344124</v>
          </cell>
        </row>
        <row r="273">
          <cell r="A273">
            <v>246</v>
          </cell>
          <cell r="K273">
            <v>446966.12453033187</v>
          </cell>
        </row>
        <row r="274">
          <cell r="A274">
            <v>247</v>
          </cell>
          <cell r="K274">
            <v>454415.55993917066</v>
          </cell>
        </row>
        <row r="275">
          <cell r="A275">
            <v>248</v>
          </cell>
          <cell r="K275">
            <v>461989.15260482352</v>
          </cell>
        </row>
        <row r="276">
          <cell r="A276">
            <v>249</v>
          </cell>
          <cell r="K276">
            <v>469688.9718149039</v>
          </cell>
        </row>
        <row r="277">
          <cell r="A277">
            <v>250</v>
          </cell>
          <cell r="K277">
            <v>477517.12134515221</v>
          </cell>
        </row>
        <row r="278">
          <cell r="A278">
            <v>251</v>
          </cell>
          <cell r="K278">
            <v>485475.74003423809</v>
          </cell>
        </row>
        <row r="279">
          <cell r="A279">
            <v>252</v>
          </cell>
          <cell r="K279">
            <v>493567.00236814201</v>
          </cell>
        </row>
        <row r="280">
          <cell r="A280">
            <v>253</v>
          </cell>
          <cell r="K280">
            <v>501793.11907427764</v>
          </cell>
        </row>
        <row r="281">
          <cell r="A281">
            <v>254</v>
          </cell>
          <cell r="K281">
            <v>510156.33772551559</v>
          </cell>
        </row>
        <row r="282">
          <cell r="A282">
            <v>255</v>
          </cell>
          <cell r="K282">
            <v>518658.94335427415</v>
          </cell>
        </row>
        <row r="283">
          <cell r="A283">
            <v>256</v>
          </cell>
          <cell r="K283">
            <v>527303.25907684537</v>
          </cell>
        </row>
        <row r="284">
          <cell r="A284">
            <v>257</v>
          </cell>
          <cell r="K284">
            <v>536091.6467281261</v>
          </cell>
        </row>
        <row r="285">
          <cell r="A285">
            <v>258</v>
          </cell>
          <cell r="K285">
            <v>545026.50750692817</v>
          </cell>
        </row>
        <row r="286">
          <cell r="A286">
            <v>259</v>
          </cell>
          <cell r="K286">
            <v>554110.28263204359</v>
          </cell>
        </row>
        <row r="287">
          <cell r="A287">
            <v>260</v>
          </cell>
          <cell r="K287">
            <v>563345.45400924433</v>
          </cell>
        </row>
        <row r="288">
          <cell r="A288">
            <v>261</v>
          </cell>
          <cell r="K288">
            <v>572734.54490939842</v>
          </cell>
        </row>
        <row r="289">
          <cell r="A289">
            <v>262</v>
          </cell>
          <cell r="K289">
            <v>582280.12065788836</v>
          </cell>
        </row>
        <row r="290">
          <cell r="A290">
            <v>263</v>
          </cell>
          <cell r="K290">
            <v>591984.78933551977</v>
          </cell>
        </row>
        <row r="291">
          <cell r="A291">
            <v>264</v>
          </cell>
          <cell r="K291">
            <v>601851.2024911117</v>
          </cell>
        </row>
        <row r="292">
          <cell r="A292">
            <v>265</v>
          </cell>
          <cell r="K292">
            <v>611882.05586596357</v>
          </cell>
        </row>
        <row r="293">
          <cell r="A293">
            <v>266</v>
          </cell>
          <cell r="K293">
            <v>622080.0901303963</v>
          </cell>
        </row>
        <row r="294">
          <cell r="A294">
            <v>267</v>
          </cell>
          <cell r="K294">
            <v>632448.09163256944</v>
          </cell>
        </row>
        <row r="295">
          <cell r="A295">
            <v>268</v>
          </cell>
          <cell r="K295">
            <v>642988.89315977902</v>
          </cell>
        </row>
        <row r="296">
          <cell r="A296">
            <v>269</v>
          </cell>
          <cell r="K296">
            <v>653705.37471244205</v>
          </cell>
        </row>
        <row r="297">
          <cell r="A297">
            <v>270</v>
          </cell>
          <cell r="K297">
            <v>664600.46429098269</v>
          </cell>
        </row>
        <row r="298">
          <cell r="A298">
            <v>271</v>
          </cell>
          <cell r="K298">
            <v>675677.13869583234</v>
          </cell>
        </row>
        <row r="299">
          <cell r="A299">
            <v>272</v>
          </cell>
          <cell r="K299">
            <v>686938.42434076278</v>
          </cell>
        </row>
        <row r="300">
          <cell r="A300">
            <v>273</v>
          </cell>
          <cell r="K300">
            <v>698387.39807977551</v>
          </cell>
        </row>
        <row r="301">
          <cell r="A301">
            <v>274</v>
          </cell>
          <cell r="K301">
            <v>710027.18804777169</v>
          </cell>
        </row>
        <row r="302">
          <cell r="A302">
            <v>275</v>
          </cell>
          <cell r="K302">
            <v>721860.97451523459</v>
          </cell>
        </row>
        <row r="303">
          <cell r="A303">
            <v>276</v>
          </cell>
          <cell r="K303">
            <v>733891.99075715512</v>
          </cell>
        </row>
        <row r="304">
          <cell r="A304">
            <v>277</v>
          </cell>
          <cell r="K304">
            <v>746123.52393644094</v>
          </cell>
        </row>
        <row r="305">
          <cell r="A305">
            <v>278</v>
          </cell>
          <cell r="K305">
            <v>758558.91600204818</v>
          </cell>
        </row>
        <row r="306">
          <cell r="A306">
            <v>279</v>
          </cell>
          <cell r="K306">
            <v>771201.56460208225</v>
          </cell>
        </row>
        <row r="307">
          <cell r="A307">
            <v>280</v>
          </cell>
          <cell r="K307">
            <v>784054.92401211686</v>
          </cell>
        </row>
        <row r="308">
          <cell r="A308">
            <v>281</v>
          </cell>
          <cell r="K308">
            <v>797122.50607898552</v>
          </cell>
        </row>
        <row r="309">
          <cell r="A309">
            <v>282</v>
          </cell>
          <cell r="K309">
            <v>810407.88118030189</v>
          </cell>
        </row>
        <row r="310">
          <cell r="A310">
            <v>283</v>
          </cell>
          <cell r="K310">
            <v>823914.67919997347</v>
          </cell>
        </row>
        <row r="311">
          <cell r="A311">
            <v>284</v>
          </cell>
          <cell r="K311">
            <v>837646.59051997308</v>
          </cell>
        </row>
        <row r="312">
          <cell r="A312">
            <v>285</v>
          </cell>
          <cell r="K312">
            <v>851607.36702863919</v>
          </cell>
        </row>
        <row r="313">
          <cell r="A313">
            <v>286</v>
          </cell>
          <cell r="K313">
            <v>865800.82314578316</v>
          </cell>
        </row>
        <row r="314">
          <cell r="A314">
            <v>287</v>
          </cell>
          <cell r="K314">
            <v>880230.83686487959</v>
          </cell>
        </row>
        <row r="315">
          <cell r="A315">
            <v>288</v>
          </cell>
          <cell r="K315">
            <v>894901.35081262747</v>
          </cell>
        </row>
        <row r="316">
          <cell r="A316">
            <v>289</v>
          </cell>
          <cell r="K316">
            <v>909816.37332617119</v>
          </cell>
        </row>
        <row r="317">
          <cell r="A317">
            <v>290</v>
          </cell>
          <cell r="K317">
            <v>924979.97954827396</v>
          </cell>
        </row>
        <row r="318">
          <cell r="A318">
            <v>291</v>
          </cell>
          <cell r="K318">
            <v>940396.31254074513</v>
          </cell>
        </row>
        <row r="319">
          <cell r="A319">
            <v>292</v>
          </cell>
          <cell r="K319">
            <v>956069.58441642416</v>
          </cell>
        </row>
        <row r="320">
          <cell r="A320">
            <v>293</v>
          </cell>
          <cell r="K320">
            <v>972004.07749003114</v>
          </cell>
        </row>
        <row r="321">
          <cell r="A321">
            <v>294</v>
          </cell>
          <cell r="K321">
            <v>988204.14544819831</v>
          </cell>
        </row>
        <row r="322">
          <cell r="A322">
            <v>295</v>
          </cell>
          <cell r="K322">
            <v>1004674.2145390015</v>
          </cell>
        </row>
        <row r="323">
          <cell r="A323">
            <v>296</v>
          </cell>
          <cell r="K323">
            <v>1021418.7847813182</v>
          </cell>
        </row>
        <row r="324">
          <cell r="A324">
            <v>297</v>
          </cell>
          <cell r="K324">
            <v>1038442.43119434</v>
          </cell>
        </row>
        <row r="325">
          <cell r="A325">
            <v>298</v>
          </cell>
          <cell r="K325">
            <v>1055749.8050475789</v>
          </cell>
        </row>
        <row r="326">
          <cell r="A326">
            <v>299</v>
          </cell>
          <cell r="K326">
            <v>1073345.6351317051</v>
          </cell>
        </row>
        <row r="327">
          <cell r="A327">
            <v>300</v>
          </cell>
          <cell r="K327">
            <v>1091234.7290505669</v>
          </cell>
        </row>
        <row r="328">
          <cell r="A328">
            <v>301</v>
          </cell>
          <cell r="K328">
            <v>1109421.9745347428</v>
          </cell>
        </row>
        <row r="329">
          <cell r="A329">
            <v>302</v>
          </cell>
          <cell r="K329">
            <v>1127912.3407769885</v>
          </cell>
        </row>
        <row r="330">
          <cell r="A330">
            <v>303</v>
          </cell>
          <cell r="K330">
            <v>1146710.8797899382</v>
          </cell>
        </row>
        <row r="331">
          <cell r="A331">
            <v>304</v>
          </cell>
          <cell r="K331">
            <v>1165822.7277864371</v>
          </cell>
        </row>
        <row r="332">
          <cell r="A332">
            <v>305</v>
          </cell>
          <cell r="K332">
            <v>1185253.1065828777</v>
          </cell>
        </row>
        <row r="333">
          <cell r="A333">
            <v>306</v>
          </cell>
          <cell r="K333">
            <v>1205007.3250259256</v>
          </cell>
        </row>
        <row r="334">
          <cell r="A334">
            <v>307</v>
          </cell>
          <cell r="K334">
            <v>1225090.7804430241</v>
          </cell>
        </row>
        <row r="335">
          <cell r="A335">
            <v>308</v>
          </cell>
          <cell r="K335">
            <v>1245508.9601170744</v>
          </cell>
        </row>
        <row r="336">
          <cell r="A336">
            <v>309</v>
          </cell>
          <cell r="K336">
            <v>1266267.4427856922</v>
          </cell>
        </row>
        <row r="337">
          <cell r="A337">
            <v>310</v>
          </cell>
          <cell r="K337">
            <v>1287371.9001654536</v>
          </cell>
        </row>
        <row r="338">
          <cell r="A338">
            <v>311</v>
          </cell>
          <cell r="K338">
            <v>1308828.0985015444</v>
          </cell>
        </row>
        <row r="339">
          <cell r="A339">
            <v>312</v>
          </cell>
          <cell r="K339">
            <v>1330641.9001432366</v>
          </cell>
        </row>
        <row r="340">
          <cell r="A340">
            <v>313</v>
          </cell>
          <cell r="K340">
            <v>1352819.2651456241</v>
          </cell>
        </row>
        <row r="341">
          <cell r="A341">
            <v>314</v>
          </cell>
          <cell r="K341">
            <v>1375366.2528980509</v>
          </cell>
        </row>
        <row r="342">
          <cell r="A342">
            <v>315</v>
          </cell>
          <cell r="K342">
            <v>1398289.0237796851</v>
          </cell>
        </row>
        <row r="343">
          <cell r="A343">
            <v>316</v>
          </cell>
          <cell r="K343">
            <v>1421593.8408426798</v>
          </cell>
        </row>
        <row r="344">
          <cell r="A344">
            <v>317</v>
          </cell>
          <cell r="K344">
            <v>1445287.0715233912</v>
          </cell>
        </row>
        <row r="345">
          <cell r="A345">
            <v>318</v>
          </cell>
          <cell r="K345">
            <v>1469375.189382114</v>
          </cell>
        </row>
        <row r="346">
          <cell r="A346">
            <v>319</v>
          </cell>
          <cell r="K346">
            <v>1493864.7758718161</v>
          </cell>
        </row>
        <row r="347">
          <cell r="A347">
            <v>320</v>
          </cell>
          <cell r="K347">
            <v>1518762.5221363462</v>
          </cell>
        </row>
        <row r="348">
          <cell r="A348">
            <v>321</v>
          </cell>
          <cell r="K348">
            <v>1544075.2308386185</v>
          </cell>
        </row>
        <row r="349">
          <cell r="A349">
            <v>322</v>
          </cell>
          <cell r="K349">
            <v>1569809.8180192618</v>
          </cell>
        </row>
        <row r="350">
          <cell r="A350">
            <v>323</v>
          </cell>
          <cell r="K350">
            <v>1595973.3149862497</v>
          </cell>
        </row>
        <row r="351">
          <cell r="A351">
            <v>324</v>
          </cell>
          <cell r="K351">
            <v>1622572.8702360203</v>
          </cell>
        </row>
        <row r="352">
          <cell r="A352">
            <v>325</v>
          </cell>
          <cell r="K352">
            <v>1649615.7514066205</v>
          </cell>
        </row>
        <row r="353">
          <cell r="A353">
            <v>326</v>
          </cell>
          <cell r="K353">
            <v>1677109.3472633974</v>
          </cell>
        </row>
        <row r="354">
          <cell r="A354">
            <v>327</v>
          </cell>
          <cell r="K354">
            <v>1705061.1697177873</v>
          </cell>
        </row>
        <row r="355">
          <cell r="A355">
            <v>328</v>
          </cell>
          <cell r="K355">
            <v>1733478.8558797503</v>
          </cell>
        </row>
        <row r="356">
          <cell r="A356">
            <v>329</v>
          </cell>
          <cell r="K356">
            <v>1762370.1701444127</v>
          </cell>
        </row>
        <row r="357">
          <cell r="A357">
            <v>330</v>
          </cell>
          <cell r="K357">
            <v>1791743.006313486</v>
          </cell>
        </row>
        <row r="358">
          <cell r="A358">
            <v>331</v>
          </cell>
          <cell r="K358">
            <v>1821605.3897520441</v>
          </cell>
        </row>
        <row r="359">
          <cell r="A359">
            <v>332</v>
          </cell>
          <cell r="K359">
            <v>1851965.4795812448</v>
          </cell>
        </row>
        <row r="360">
          <cell r="A360">
            <v>333</v>
          </cell>
          <cell r="K360">
            <v>1882831.5709075988</v>
          </cell>
        </row>
        <row r="361">
          <cell r="A361">
            <v>334</v>
          </cell>
          <cell r="K361">
            <v>1914212.0970893919</v>
          </cell>
        </row>
        <row r="362">
          <cell r="A362">
            <v>335</v>
          </cell>
          <cell r="K362">
            <v>1946115.6320408818</v>
          </cell>
        </row>
        <row r="363">
          <cell r="A363">
            <v>336</v>
          </cell>
          <cell r="K363">
            <v>1978550.8925748963</v>
          </cell>
        </row>
        <row r="364">
          <cell r="A364">
            <v>337</v>
          </cell>
          <cell r="K364">
            <v>2011526.7407844779</v>
          </cell>
        </row>
        <row r="365">
          <cell r="A365">
            <v>338</v>
          </cell>
          <cell r="K365">
            <v>2045052.1864642191</v>
          </cell>
        </row>
        <row r="366">
          <cell r="A366">
            <v>339</v>
          </cell>
          <cell r="K366">
            <v>2079136.3895719559</v>
          </cell>
        </row>
        <row r="367">
          <cell r="A367">
            <v>340</v>
          </cell>
          <cell r="K367">
            <v>2113788.6627314882</v>
          </cell>
        </row>
        <row r="368">
          <cell r="A368">
            <v>341</v>
          </cell>
          <cell r="K368">
            <v>2149018.4737770129</v>
          </cell>
        </row>
        <row r="369">
          <cell r="A369">
            <v>342</v>
          </cell>
          <cell r="K369">
            <v>2184835.4483399629</v>
          </cell>
        </row>
        <row r="370">
          <cell r="A370">
            <v>343</v>
          </cell>
          <cell r="K370">
            <v>2221249.3724789624</v>
          </cell>
        </row>
        <row r="371">
          <cell r="A371">
            <v>344</v>
          </cell>
          <cell r="K371">
            <v>2258270.1953536114</v>
          </cell>
        </row>
        <row r="372">
          <cell r="A372">
            <v>345</v>
          </cell>
          <cell r="K372">
            <v>2295908.0319428383</v>
          </cell>
        </row>
        <row r="373">
          <cell r="A373">
            <v>346</v>
          </cell>
          <cell r="K373">
            <v>2334173.1658085519</v>
          </cell>
        </row>
        <row r="374">
          <cell r="A374">
            <v>347</v>
          </cell>
          <cell r="K374">
            <v>2373076.051905361</v>
          </cell>
        </row>
        <row r="375">
          <cell r="A375">
            <v>348</v>
          </cell>
          <cell r="K375">
            <v>2412627.3194371169</v>
          </cell>
        </row>
        <row r="376">
          <cell r="A376">
            <v>349</v>
          </cell>
          <cell r="K376">
            <v>2452837.7747610686</v>
          </cell>
        </row>
        <row r="377">
          <cell r="A377">
            <v>350</v>
          </cell>
          <cell r="K377">
            <v>2493718.4043404199</v>
          </cell>
        </row>
        <row r="378">
          <cell r="A378">
            <v>351</v>
          </cell>
          <cell r="K378">
            <v>2535280.3777460936</v>
          </cell>
        </row>
        <row r="379">
          <cell r="A379">
            <v>352</v>
          </cell>
          <cell r="K379">
            <v>2577535.0507085281</v>
          </cell>
        </row>
        <row r="380">
          <cell r="A380">
            <v>353</v>
          </cell>
          <cell r="K380">
            <v>2620493.9682203368</v>
          </cell>
        </row>
        <row r="381">
          <cell r="A381">
            <v>354</v>
          </cell>
          <cell r="K381">
            <v>2664168.8676906754</v>
          </cell>
        </row>
        <row r="382">
          <cell r="A382">
            <v>355</v>
          </cell>
          <cell r="K382">
            <v>2708571.6821521865</v>
          </cell>
        </row>
        <row r="383">
          <cell r="A383">
            <v>356</v>
          </cell>
          <cell r="K383">
            <v>2753714.5435213898</v>
          </cell>
        </row>
        <row r="384">
          <cell r="A384">
            <v>357</v>
          </cell>
          <cell r="K384">
            <v>2799609.7859134129</v>
          </cell>
        </row>
        <row r="385">
          <cell r="A385">
            <v>358</v>
          </cell>
          <cell r="K385">
            <v>2846269.9490119698</v>
          </cell>
        </row>
        <row r="386">
          <cell r="A386">
            <v>359</v>
          </cell>
          <cell r="K386">
            <v>2893707.7814955022</v>
          </cell>
        </row>
        <row r="387">
          <cell r="A387">
            <v>360</v>
          </cell>
          <cell r="K387">
            <v>2941936.2445204267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 de saldos"/>
      <sheetName val="Datos de la Empresa"/>
      <sheetName val="Empresa Detalle"/>
    </sheetNames>
    <sheetDataSet>
      <sheetData sheetId="0">
        <row r="9">
          <cell r="F9">
            <v>507910958.89999998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 de cheque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9FA3F-631C-4147-BC62-21C45663A9D6}" name="Tabla1" displayName="Tabla1" ref="A1:L138" totalsRowShown="0" headerRowDxfId="25" tableBorderDxfId="24" headerRowCellStyle="Normal 2 3">
  <autoFilter ref="A1:L138" xr:uid="{00000000-000C-0000-FFFF-FFFF00000000}"/>
  <tableColumns count="12">
    <tableColumn id="1" xr3:uid="{04AEE5BA-0EA5-4035-B292-FF2EACD96370}" name="FECHA DE EMISION" dataDxfId="10" totalsRowDxfId="23" dataCellStyle="Normal 2 3"/>
    <tableColumn id="5" xr3:uid="{3EBD6357-871A-45A4-BD8E-6F69339447F9}" name="FECHA DE VENCIMIENTO" dataDxfId="9" totalsRowDxfId="22" dataCellStyle="Normal 2 3"/>
    <tableColumn id="2" xr3:uid="{47076575-1AA9-44EB-BC52-D87DBD064DE9}" name="MES" dataDxfId="8" totalsRowDxfId="21" dataCellStyle="Normal 2 3">
      <calculatedColumnFormula>UPPER(IF(B2="","",TEXT(B2,"MMMM")))</calculatedColumnFormula>
    </tableColumn>
    <tableColumn id="3" xr3:uid="{26FBA906-5545-451B-ABF6-03AF08FDBC7B}" name="CONCEPTO" dataDxfId="7" totalsRowDxfId="20" dataCellStyle="Normal 2 3"/>
    <tableColumn id="4" xr3:uid="{6B82B13E-AD56-4067-B70B-585F5B92943D}" name="DÉBITO" dataDxfId="6" totalsRowDxfId="19" dataCellStyle="Moneda"/>
    <tableColumn id="7" xr3:uid="{6A83094C-87E8-483C-A915-247D45109EDD}" name="CRÉDITO" dataDxfId="5" totalsRowDxfId="18" dataCellStyle="Moneda"/>
    <tableColumn id="8" xr3:uid="{4F781B16-3F0F-417A-A12E-58AF562839C8}" name="SALDO" dataDxfId="4" totalsRowDxfId="17" dataCellStyle="Normal 2 3">
      <calculatedColumnFormula>+[3]!Tabla1[[#This Row],[CRÉDITO]]-[3]!Tabla1[[#This Row],[DÉBITO]]</calculatedColumnFormula>
    </tableColumn>
    <tableColumn id="9" xr3:uid="{4E44E641-9EA2-4921-8530-C118E5527867}" name="FECHA DE DEPOSITO" dataDxfId="3" totalsRowDxfId="16" dataCellStyle="Normal 2 3"/>
    <tableColumn id="10" xr3:uid="{18C4B942-3496-4DF0-8183-A4DC5063255A}" name="OBSERVACIONES" dataDxfId="2" totalsRowDxfId="15" dataCellStyle="Normal 2 3"/>
    <tableColumn id="6" xr3:uid="{5ADE7A28-52E8-4201-9D9E-79A57AAC3D75}" name="Numero de cheque" dataDxfId="1" totalsRowDxfId="14" dataCellStyle="Normal 2 3"/>
    <tableColumn id="11" xr3:uid="{B3135CA4-ACB0-498D-818F-3979F1D45343}" name="Columna1" dataDxfId="0" totalsRowDxfId="13" dataCellStyle="Normal 2 3"/>
    <tableColumn id="12" xr3:uid="{F5487255-743A-4B01-BA84-1B32E95882A6}" name="Columna12" dataDxfId="12" totalsRowDxfId="11" dataCellStyle="Normal 2 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F73C-B6FD-455F-B039-93F2A16A2210}">
  <dimension ref="A1:HH30"/>
  <sheetViews>
    <sheetView showGridLines="0" zoomScale="70" zoomScaleNormal="70" workbookViewId="0">
      <selection activeCell="GH12" sqref="GH12"/>
    </sheetView>
  </sheetViews>
  <sheetFormatPr baseColWidth="10" defaultColWidth="9.140625" defaultRowHeight="13.5" x14ac:dyDescent="0.25"/>
  <cols>
    <col min="1" max="1" width="52.85546875" style="2" customWidth="1"/>
    <col min="2" max="10" width="8.140625" style="2" hidden="1" customWidth="1"/>
    <col min="11" max="14" width="9.5703125" style="2" hidden="1" customWidth="1"/>
    <col min="15" max="17" width="20.85546875" style="2" hidden="1" customWidth="1"/>
    <col min="18" max="19" width="9.5703125" style="2" hidden="1" customWidth="1"/>
    <col min="20" max="21" width="20.85546875" style="2" hidden="1" customWidth="1"/>
    <col min="22" max="22" width="19.140625" style="2" hidden="1" customWidth="1"/>
    <col min="23" max="23" width="19" style="2" hidden="1" customWidth="1"/>
    <col min="24" max="26" width="9.5703125" style="2" hidden="1" customWidth="1"/>
    <col min="27" max="30" width="19" style="2" hidden="1" customWidth="1"/>
    <col min="31" max="31" width="12.85546875" style="2" hidden="1" customWidth="1"/>
    <col min="32" max="32" width="9.5703125" style="2" hidden="1" customWidth="1"/>
    <col min="33" max="33" width="7.42578125" style="2" hidden="1" customWidth="1"/>
    <col min="34" max="36" width="20.85546875" style="2" hidden="1" customWidth="1"/>
    <col min="37" max="37" width="17.7109375" style="2" hidden="1" customWidth="1"/>
    <col min="38" max="40" width="7.42578125" style="2" hidden="1" customWidth="1"/>
    <col min="41" max="41" width="19" style="2" hidden="1" customWidth="1"/>
    <col min="42" max="45" width="20.85546875" style="2" hidden="1" customWidth="1"/>
    <col min="46" max="49" width="8.85546875" style="2" hidden="1" customWidth="1"/>
    <col min="50" max="52" width="20.85546875" style="2" hidden="1" customWidth="1"/>
    <col min="53" max="56" width="8.85546875" style="2" hidden="1" customWidth="1"/>
    <col min="57" max="59" width="20.85546875" style="2" hidden="1" customWidth="1"/>
    <col min="60" max="60" width="8.85546875" style="2" hidden="1" customWidth="1"/>
    <col min="61" max="61" width="8.42578125" style="2" hidden="1" customWidth="1"/>
    <col min="62" max="66" width="20.85546875" style="2" hidden="1" customWidth="1"/>
    <col min="67" max="68" width="8.42578125" style="2" hidden="1" customWidth="1"/>
    <col min="69" max="73" width="20.85546875" style="2" hidden="1" customWidth="1"/>
    <col min="74" max="75" width="9.85546875" style="2" hidden="1" customWidth="1"/>
    <col min="76" max="80" width="20.85546875" style="2" hidden="1" customWidth="1"/>
    <col min="81" max="84" width="9.85546875" style="2" hidden="1" customWidth="1"/>
    <col min="85" max="87" width="20.85546875" style="2" hidden="1" customWidth="1"/>
    <col min="88" max="89" width="9.85546875" style="2" hidden="1" customWidth="1"/>
    <col min="90" max="92" width="20.85546875" style="2" hidden="1" customWidth="1"/>
    <col min="93" max="96" width="7.5703125" style="2" hidden="1" customWidth="1"/>
    <col min="97" max="98" width="20.85546875" style="2" hidden="1" customWidth="1"/>
    <col min="99" max="100" width="7.5703125" style="2" hidden="1" customWidth="1"/>
    <col min="101" max="103" width="9" style="2" hidden="1" customWidth="1"/>
    <col min="104" max="108" width="20.85546875" style="2" hidden="1" customWidth="1"/>
    <col min="109" max="110" width="9" style="2" hidden="1" customWidth="1"/>
    <col min="111" max="115" width="20.85546875" style="2" hidden="1" customWidth="1"/>
    <col min="116" max="117" width="9" style="2" hidden="1" customWidth="1"/>
    <col min="118" max="121" width="20.85546875" style="2" hidden="1" customWidth="1"/>
    <col min="122" max="124" width="8.7109375" style="2" hidden="1" customWidth="1"/>
    <col min="125" max="129" width="20.85546875" style="2" hidden="1" customWidth="1"/>
    <col min="130" max="130" width="8.7109375" style="2" hidden="1" customWidth="1"/>
    <col min="131" max="131" width="10.140625" style="2" hidden="1" customWidth="1"/>
    <col min="132" max="135" width="20.85546875" style="2" hidden="1" customWidth="1"/>
    <col min="136" max="142" width="23" style="2" hidden="1" customWidth="1"/>
    <col min="143" max="146" width="10.140625" style="2" hidden="1" customWidth="1"/>
    <col min="147" max="149" width="20.85546875" style="2" hidden="1" customWidth="1"/>
    <col min="150" max="150" width="25" style="2" hidden="1" customWidth="1"/>
    <col min="151" max="152" width="20.85546875" style="2" hidden="1" customWidth="1"/>
    <col min="153" max="153" width="29.5703125" style="2" hidden="1" customWidth="1"/>
    <col min="154" max="176" width="20.85546875" style="2" hidden="1" customWidth="1"/>
    <col min="177" max="181" width="20.85546875" style="2" bestFit="1" customWidth="1"/>
    <col min="182" max="186" width="21.42578125" style="2" bestFit="1" customWidth="1"/>
    <col min="187" max="187" width="9.140625" style="2"/>
    <col min="188" max="188" width="20.85546875" style="2" bestFit="1" customWidth="1"/>
    <col min="189" max="189" width="20.28515625" style="2" bestFit="1" customWidth="1"/>
    <col min="190" max="190" width="20.85546875" style="2" bestFit="1" customWidth="1"/>
    <col min="191" max="16384" width="9.140625" style="2"/>
  </cols>
  <sheetData>
    <row r="1" spans="1:216" ht="21" x14ac:dyDescent="0.25">
      <c r="A1" s="3"/>
      <c r="B1" s="5">
        <v>46023</v>
      </c>
      <c r="C1" s="6">
        <v>46024</v>
      </c>
      <c r="D1" s="5">
        <v>46025</v>
      </c>
      <c r="E1" s="5">
        <v>46026</v>
      </c>
      <c r="F1" s="6">
        <v>46027</v>
      </c>
      <c r="G1" s="6">
        <v>46028</v>
      </c>
      <c r="H1" s="6">
        <v>46029</v>
      </c>
      <c r="I1" s="6">
        <v>46030</v>
      </c>
      <c r="J1" s="6">
        <v>46031</v>
      </c>
      <c r="K1" s="5">
        <v>46032</v>
      </c>
      <c r="L1" s="5">
        <v>46033</v>
      </c>
      <c r="M1" s="6">
        <v>46034</v>
      </c>
      <c r="N1" s="6">
        <v>46035</v>
      </c>
      <c r="O1" s="6">
        <v>46036</v>
      </c>
      <c r="P1" s="6">
        <v>46037</v>
      </c>
      <c r="Q1" s="6">
        <v>46038</v>
      </c>
      <c r="R1" s="5">
        <v>46039</v>
      </c>
      <c r="S1" s="5">
        <v>46040</v>
      </c>
      <c r="T1" s="6">
        <v>46041</v>
      </c>
      <c r="U1" s="6">
        <v>46042</v>
      </c>
      <c r="V1" s="6">
        <v>46043</v>
      </c>
      <c r="W1" s="6">
        <v>46044</v>
      </c>
      <c r="X1" s="6">
        <v>46045</v>
      </c>
      <c r="Y1" s="5">
        <v>46046</v>
      </c>
      <c r="Z1" s="5">
        <v>46047</v>
      </c>
      <c r="AA1" s="6">
        <v>46048</v>
      </c>
      <c r="AB1" s="6">
        <v>46049</v>
      </c>
      <c r="AC1" s="6">
        <v>46050</v>
      </c>
      <c r="AD1" s="6">
        <v>46051</v>
      </c>
      <c r="AE1" s="6">
        <v>46052</v>
      </c>
      <c r="AF1" s="5">
        <v>46053</v>
      </c>
      <c r="AG1" s="5">
        <v>46054</v>
      </c>
      <c r="AH1" s="6">
        <v>46055</v>
      </c>
      <c r="AI1" s="6">
        <v>46056</v>
      </c>
      <c r="AJ1" s="6">
        <v>46057</v>
      </c>
      <c r="AK1" s="6">
        <v>46058</v>
      </c>
      <c r="AL1" s="6">
        <v>46059</v>
      </c>
      <c r="AM1" s="5">
        <v>46060</v>
      </c>
      <c r="AN1" s="5">
        <v>46061</v>
      </c>
      <c r="AO1" s="6">
        <v>46062</v>
      </c>
      <c r="AP1" s="6">
        <v>46063</v>
      </c>
      <c r="AQ1" s="6">
        <v>46064</v>
      </c>
      <c r="AR1" s="6">
        <v>46065</v>
      </c>
      <c r="AS1" s="6">
        <v>46066</v>
      </c>
      <c r="AT1" s="5">
        <v>46067</v>
      </c>
      <c r="AU1" s="5">
        <v>46068</v>
      </c>
      <c r="AV1" s="5">
        <v>46069</v>
      </c>
      <c r="AW1" s="5">
        <v>46070</v>
      </c>
      <c r="AX1" s="6">
        <v>46071</v>
      </c>
      <c r="AY1" s="6">
        <v>46072</v>
      </c>
      <c r="AZ1" s="6">
        <v>46073</v>
      </c>
      <c r="BA1" s="6">
        <v>46074</v>
      </c>
      <c r="BB1" s="6">
        <v>46075</v>
      </c>
      <c r="BC1" s="6">
        <v>46076</v>
      </c>
      <c r="BD1" s="6">
        <v>46077</v>
      </c>
      <c r="BE1" s="6">
        <v>46078</v>
      </c>
      <c r="BF1" s="6">
        <v>46079</v>
      </c>
      <c r="BG1" s="6">
        <v>46080</v>
      </c>
      <c r="BH1" s="6">
        <v>46081</v>
      </c>
      <c r="BI1" s="6">
        <v>46082</v>
      </c>
      <c r="BJ1" s="6">
        <v>46083</v>
      </c>
      <c r="BK1" s="6">
        <v>46084</v>
      </c>
      <c r="BL1" s="6">
        <v>46085</v>
      </c>
      <c r="BM1" s="6">
        <v>46086</v>
      </c>
      <c r="BN1" s="6">
        <v>46087</v>
      </c>
      <c r="BO1" s="6">
        <v>46088</v>
      </c>
      <c r="BP1" s="6">
        <v>46089</v>
      </c>
      <c r="BQ1" s="6">
        <v>46090</v>
      </c>
      <c r="BR1" s="6">
        <v>46091</v>
      </c>
      <c r="BS1" s="6">
        <v>46092</v>
      </c>
      <c r="BT1" s="6">
        <v>46093</v>
      </c>
      <c r="BU1" s="6">
        <v>46094</v>
      </c>
      <c r="BV1" s="6">
        <v>46095</v>
      </c>
      <c r="BW1" s="6">
        <v>46096</v>
      </c>
      <c r="BX1" s="6">
        <v>46097</v>
      </c>
      <c r="BY1" s="6">
        <v>46098</v>
      </c>
      <c r="BZ1" s="6">
        <v>46099</v>
      </c>
      <c r="CA1" s="6">
        <v>46100</v>
      </c>
      <c r="CB1" s="6">
        <v>46101</v>
      </c>
      <c r="CC1" s="5">
        <v>46102</v>
      </c>
      <c r="CD1" s="5">
        <v>46103</v>
      </c>
      <c r="CE1" s="5">
        <v>46104</v>
      </c>
      <c r="CF1" s="5">
        <v>46105</v>
      </c>
      <c r="CG1" s="6">
        <v>46106</v>
      </c>
      <c r="CH1" s="6">
        <v>46107</v>
      </c>
      <c r="CI1" s="6">
        <v>46108</v>
      </c>
      <c r="CJ1" s="5">
        <v>46109</v>
      </c>
      <c r="CK1" s="5">
        <v>46110</v>
      </c>
      <c r="CL1" s="6">
        <v>46111</v>
      </c>
      <c r="CM1" s="6">
        <v>46112</v>
      </c>
      <c r="CN1" s="6">
        <v>46113</v>
      </c>
      <c r="CO1" s="5">
        <v>46114</v>
      </c>
      <c r="CP1" s="5">
        <v>46115</v>
      </c>
      <c r="CQ1" s="5">
        <v>46116</v>
      </c>
      <c r="CR1" s="5">
        <v>46117</v>
      </c>
      <c r="CS1" s="6">
        <v>46118</v>
      </c>
      <c r="CT1" s="6">
        <v>46119</v>
      </c>
      <c r="CU1" s="6">
        <v>46120</v>
      </c>
      <c r="CV1" s="6">
        <v>46121</v>
      </c>
      <c r="CW1" s="6">
        <v>46122</v>
      </c>
      <c r="CX1" s="5">
        <v>46123</v>
      </c>
      <c r="CY1" s="5">
        <v>46124</v>
      </c>
      <c r="CZ1" s="6">
        <v>46125</v>
      </c>
      <c r="DA1" s="6">
        <v>46126</v>
      </c>
      <c r="DB1" s="6">
        <v>46127</v>
      </c>
      <c r="DC1" s="6">
        <v>46128</v>
      </c>
      <c r="DD1" s="6">
        <v>46129</v>
      </c>
      <c r="DE1" s="6">
        <v>46130</v>
      </c>
      <c r="DF1" s="6">
        <v>46131</v>
      </c>
      <c r="DG1" s="6">
        <v>46132</v>
      </c>
      <c r="DH1" s="6">
        <v>46133</v>
      </c>
      <c r="DI1" s="6">
        <v>46134</v>
      </c>
      <c r="DJ1" s="6">
        <v>46135</v>
      </c>
      <c r="DK1" s="6">
        <v>46136</v>
      </c>
      <c r="DL1" s="6">
        <v>46137</v>
      </c>
      <c r="DM1" s="6">
        <v>46138</v>
      </c>
      <c r="DN1" s="6">
        <v>46139</v>
      </c>
      <c r="DO1" s="6">
        <v>46140</v>
      </c>
      <c r="DP1" s="6">
        <v>46141</v>
      </c>
      <c r="DQ1" s="6">
        <v>46142</v>
      </c>
      <c r="DR1" s="6">
        <v>46143</v>
      </c>
      <c r="DS1" s="6">
        <v>46144</v>
      </c>
      <c r="DT1" s="6">
        <v>46145</v>
      </c>
      <c r="DU1" s="6">
        <v>46146</v>
      </c>
      <c r="DV1" s="6">
        <v>46147</v>
      </c>
      <c r="DW1" s="6">
        <v>46148</v>
      </c>
      <c r="DX1" s="6">
        <v>46149</v>
      </c>
      <c r="DY1" s="6">
        <v>46150</v>
      </c>
      <c r="DZ1" s="6">
        <v>46151</v>
      </c>
      <c r="EA1" s="6">
        <v>46152</v>
      </c>
      <c r="EB1" s="6">
        <v>46153</v>
      </c>
      <c r="EC1" s="6">
        <v>46154</v>
      </c>
      <c r="ED1" s="6">
        <v>46155</v>
      </c>
      <c r="EE1" s="6">
        <v>46156</v>
      </c>
      <c r="EF1" s="6">
        <v>46157</v>
      </c>
      <c r="EG1" s="6">
        <v>46158</v>
      </c>
      <c r="EH1" s="6">
        <v>46159</v>
      </c>
      <c r="EI1" s="6">
        <v>46160</v>
      </c>
      <c r="EJ1" s="6">
        <v>46161</v>
      </c>
      <c r="EK1" s="6">
        <v>46162</v>
      </c>
      <c r="EL1" s="6">
        <v>46163</v>
      </c>
      <c r="EM1" s="6">
        <v>46164</v>
      </c>
      <c r="EN1" s="6">
        <v>46165</v>
      </c>
      <c r="EO1" s="6">
        <v>46166</v>
      </c>
      <c r="EP1" s="6">
        <v>46167</v>
      </c>
      <c r="EQ1" s="6">
        <v>46168</v>
      </c>
      <c r="ER1" s="6">
        <v>46169</v>
      </c>
      <c r="ES1" s="6">
        <v>46170</v>
      </c>
      <c r="ET1" s="6">
        <v>46171</v>
      </c>
      <c r="EU1" s="6">
        <v>46172</v>
      </c>
      <c r="EV1" s="6">
        <v>46173</v>
      </c>
      <c r="EW1" s="6">
        <v>46174</v>
      </c>
      <c r="EX1" s="6">
        <v>46175</v>
      </c>
      <c r="EY1" s="6">
        <v>46176</v>
      </c>
      <c r="EZ1" s="6">
        <v>46177</v>
      </c>
      <c r="FA1" s="6">
        <v>46178</v>
      </c>
      <c r="FB1" s="6">
        <v>46179</v>
      </c>
      <c r="FC1" s="6">
        <v>46180</v>
      </c>
      <c r="FD1" s="6">
        <v>46181</v>
      </c>
      <c r="FE1" s="6">
        <v>46182</v>
      </c>
      <c r="FF1" s="6">
        <v>46183</v>
      </c>
      <c r="FG1" s="6">
        <v>46184</v>
      </c>
      <c r="FH1" s="6">
        <v>46185</v>
      </c>
      <c r="FI1" s="6">
        <v>46186</v>
      </c>
      <c r="FJ1" s="6">
        <v>46187</v>
      </c>
      <c r="FK1" s="6">
        <v>46188</v>
      </c>
      <c r="FL1" s="6">
        <v>46189</v>
      </c>
      <c r="FM1" s="6">
        <v>46190</v>
      </c>
      <c r="FN1" s="6">
        <v>46191</v>
      </c>
      <c r="FO1" s="6">
        <v>46192</v>
      </c>
      <c r="FP1" s="6">
        <v>46193</v>
      </c>
      <c r="FQ1" s="6">
        <v>46194</v>
      </c>
      <c r="FR1" s="6">
        <v>46195</v>
      </c>
      <c r="FS1" s="6">
        <v>46196</v>
      </c>
      <c r="FT1" s="6">
        <v>46197</v>
      </c>
      <c r="FU1" s="6">
        <v>46198</v>
      </c>
      <c r="FV1" s="6">
        <v>46199</v>
      </c>
      <c r="FW1" s="6">
        <v>46200</v>
      </c>
      <c r="FX1" s="6">
        <v>46201</v>
      </c>
      <c r="FY1" s="6">
        <v>46202</v>
      </c>
      <c r="FZ1" s="6">
        <v>46203</v>
      </c>
      <c r="GA1" s="6">
        <v>46204</v>
      </c>
      <c r="GB1" s="6">
        <v>46205</v>
      </c>
      <c r="GC1" s="6">
        <v>46206</v>
      </c>
      <c r="GD1" s="6">
        <v>46207</v>
      </c>
      <c r="GE1" s="6">
        <v>46208</v>
      </c>
      <c r="GF1" s="6">
        <v>46209</v>
      </c>
      <c r="GG1" s="6">
        <v>46210</v>
      </c>
      <c r="GH1" s="6">
        <v>46211</v>
      </c>
      <c r="GI1" s="6">
        <v>46212</v>
      </c>
      <c r="GJ1" s="6">
        <v>46213</v>
      </c>
      <c r="GK1" s="6">
        <v>46214</v>
      </c>
      <c r="GL1" s="6">
        <v>46215</v>
      </c>
      <c r="GM1" s="6">
        <v>46216</v>
      </c>
      <c r="GN1" s="6">
        <v>46217</v>
      </c>
      <c r="GO1" s="6">
        <v>46218</v>
      </c>
      <c r="GP1" s="6">
        <v>46219</v>
      </c>
      <c r="GQ1" s="6">
        <v>46220</v>
      </c>
      <c r="GR1" s="6">
        <v>46221</v>
      </c>
      <c r="GS1" s="6">
        <v>46222</v>
      </c>
      <c r="GT1" s="6">
        <v>46223</v>
      </c>
      <c r="GU1" s="6">
        <v>46224</v>
      </c>
      <c r="GV1" s="6">
        <v>46225</v>
      </c>
      <c r="GW1" s="6">
        <v>46226</v>
      </c>
      <c r="GX1" s="6">
        <v>46227</v>
      </c>
      <c r="GY1" s="6">
        <v>46228</v>
      </c>
      <c r="GZ1" s="6">
        <v>46229</v>
      </c>
      <c r="HA1" s="6">
        <v>46230</v>
      </c>
      <c r="HB1" s="6">
        <v>46231</v>
      </c>
      <c r="HC1" s="6">
        <v>46232</v>
      </c>
      <c r="HD1" s="6">
        <v>46233</v>
      </c>
      <c r="HE1" s="6">
        <v>46234</v>
      </c>
      <c r="HF1" s="6">
        <v>46235</v>
      </c>
      <c r="HG1" s="6">
        <v>46236</v>
      </c>
      <c r="HH1" s="6">
        <v>46237</v>
      </c>
    </row>
    <row r="2" spans="1:216" ht="24" customHeight="1" x14ac:dyDescent="0.25">
      <c r="A2" s="7" t="s">
        <v>0</v>
      </c>
      <c r="B2" s="8">
        <f t="shared" ref="B2:AI2" si="0">+B15</f>
        <v>0</v>
      </c>
      <c r="C2" s="8">
        <f t="shared" si="0"/>
        <v>0</v>
      </c>
      <c r="D2" s="8">
        <f t="shared" si="0"/>
        <v>0</v>
      </c>
      <c r="E2" s="8">
        <f t="shared" si="0"/>
        <v>0</v>
      </c>
      <c r="F2" s="8">
        <f t="shared" si="0"/>
        <v>0</v>
      </c>
      <c r="G2" s="8">
        <f t="shared" si="0"/>
        <v>0</v>
      </c>
      <c r="H2" s="8">
        <f t="shared" si="0"/>
        <v>0</v>
      </c>
      <c r="I2" s="8">
        <f t="shared" si="0"/>
        <v>0</v>
      </c>
      <c r="J2" s="8">
        <f t="shared" si="0"/>
        <v>0</v>
      </c>
      <c r="K2" s="8">
        <f t="shared" si="0"/>
        <v>0</v>
      </c>
      <c r="L2" s="8">
        <f t="shared" si="0"/>
        <v>0</v>
      </c>
      <c r="M2" s="8">
        <f t="shared" si="0"/>
        <v>0</v>
      </c>
      <c r="N2" s="8">
        <f t="shared" si="0"/>
        <v>0</v>
      </c>
      <c r="O2" s="8">
        <f t="shared" si="0"/>
        <v>1102278895.4399998</v>
      </c>
      <c r="P2" s="8">
        <f t="shared" si="0"/>
        <v>1151906309.26</v>
      </c>
      <c r="Q2" s="8">
        <f t="shared" si="0"/>
        <v>1124588574.3199999</v>
      </c>
      <c r="R2" s="8">
        <f t="shared" si="0"/>
        <v>0</v>
      </c>
      <c r="S2" s="8">
        <f t="shared" si="0"/>
        <v>0</v>
      </c>
      <c r="T2" s="8">
        <f t="shared" si="0"/>
        <v>1075136450.4999998</v>
      </c>
      <c r="U2" s="8">
        <f t="shared" si="0"/>
        <v>1075848120</v>
      </c>
      <c r="V2" s="8">
        <f t="shared" si="0"/>
        <v>913941696.75999999</v>
      </c>
      <c r="W2" s="8">
        <f t="shared" si="0"/>
        <v>910416490.22000003</v>
      </c>
      <c r="X2" s="8">
        <f t="shared" si="0"/>
        <v>0</v>
      </c>
      <c r="Y2" s="8">
        <f t="shared" si="0"/>
        <v>0</v>
      </c>
      <c r="Z2" s="8">
        <f t="shared" si="0"/>
        <v>0</v>
      </c>
      <c r="AA2" s="8">
        <f t="shared" si="0"/>
        <v>911003972.01000011</v>
      </c>
      <c r="AB2" s="8">
        <f t="shared" si="0"/>
        <v>919368615.63000011</v>
      </c>
      <c r="AC2" s="8">
        <f t="shared" si="0"/>
        <v>907418626.86000001</v>
      </c>
      <c r="AD2" s="8">
        <f t="shared" si="0"/>
        <v>935863225.5</v>
      </c>
      <c r="AE2" s="8">
        <f t="shared" si="0"/>
        <v>0</v>
      </c>
      <c r="AF2" s="8">
        <f t="shared" si="0"/>
        <v>0</v>
      </c>
      <c r="AG2" s="8">
        <f t="shared" si="0"/>
        <v>0</v>
      </c>
      <c r="AH2" s="8">
        <f t="shared" si="0"/>
        <v>1024040189.98</v>
      </c>
      <c r="AI2" s="8">
        <f t="shared" si="0"/>
        <v>1031341987.5699998</v>
      </c>
      <c r="AJ2" s="8">
        <f>+AJ15</f>
        <v>1036857360.12</v>
      </c>
      <c r="AK2" s="8">
        <f>+AK15</f>
        <v>28574037.890000001</v>
      </c>
      <c r="AL2" s="8">
        <f t="shared" ref="AL2:CW2" si="1">+AL15</f>
        <v>0</v>
      </c>
      <c r="AM2" s="8">
        <f t="shared" si="1"/>
        <v>0</v>
      </c>
      <c r="AN2" s="8">
        <f t="shared" si="1"/>
        <v>0</v>
      </c>
      <c r="AO2" s="8">
        <f t="shared" si="1"/>
        <v>961933126.37</v>
      </c>
      <c r="AP2" s="8">
        <f t="shared" si="1"/>
        <v>2085697793.4100001</v>
      </c>
      <c r="AQ2" s="8">
        <f t="shared" si="1"/>
        <v>2061240527.4500003</v>
      </c>
      <c r="AR2" s="8">
        <f t="shared" si="1"/>
        <v>1847008362.1200001</v>
      </c>
      <c r="AS2" s="8">
        <f t="shared" si="1"/>
        <v>1904890933.6800001</v>
      </c>
      <c r="AT2" s="8">
        <f t="shared" si="1"/>
        <v>0</v>
      </c>
      <c r="AU2" s="8">
        <f t="shared" si="1"/>
        <v>0</v>
      </c>
      <c r="AV2" s="8">
        <f t="shared" si="1"/>
        <v>0</v>
      </c>
      <c r="AW2" s="8">
        <f t="shared" si="1"/>
        <v>0</v>
      </c>
      <c r="AX2" s="8">
        <f t="shared" si="1"/>
        <v>1940486638.49</v>
      </c>
      <c r="AY2" s="8">
        <f t="shared" si="1"/>
        <v>1881742112.47</v>
      </c>
      <c r="AZ2" s="8">
        <f t="shared" si="1"/>
        <v>1905635306.4400001</v>
      </c>
      <c r="BA2" s="8">
        <f t="shared" si="1"/>
        <v>0</v>
      </c>
      <c r="BB2" s="8">
        <f t="shared" si="1"/>
        <v>0</v>
      </c>
      <c r="BC2" s="8">
        <f t="shared" si="1"/>
        <v>0</v>
      </c>
      <c r="BD2" s="8">
        <f t="shared" si="1"/>
        <v>0</v>
      </c>
      <c r="BE2" s="8">
        <f t="shared" si="1"/>
        <v>1615653348.73</v>
      </c>
      <c r="BF2" s="8">
        <f t="shared" si="1"/>
        <v>1607333230.04</v>
      </c>
      <c r="BG2" s="8">
        <f t="shared" si="1"/>
        <v>1620152765.3400002</v>
      </c>
      <c r="BH2" s="8">
        <f t="shared" si="1"/>
        <v>0</v>
      </c>
      <c r="BI2" s="8">
        <f t="shared" si="1"/>
        <v>0</v>
      </c>
      <c r="BJ2" s="8">
        <f t="shared" si="1"/>
        <v>1651902318.6100001</v>
      </c>
      <c r="BK2" s="8">
        <f t="shared" si="1"/>
        <v>2670225187.5699997</v>
      </c>
      <c r="BL2" s="8">
        <f t="shared" si="1"/>
        <v>2677965947.3899999</v>
      </c>
      <c r="BM2" s="8">
        <f t="shared" si="1"/>
        <v>2609126283.2200003</v>
      </c>
      <c r="BN2" s="8">
        <f t="shared" si="1"/>
        <v>1874119967.4400001</v>
      </c>
      <c r="BO2" s="8">
        <f t="shared" si="1"/>
        <v>0</v>
      </c>
      <c r="BP2" s="8">
        <f t="shared" si="1"/>
        <v>0</v>
      </c>
      <c r="BQ2" s="8">
        <f t="shared" si="1"/>
        <v>1992808017.9700003</v>
      </c>
      <c r="BR2" s="8">
        <f t="shared" si="1"/>
        <v>2441135991.9300003</v>
      </c>
      <c r="BS2" s="8">
        <f t="shared" si="1"/>
        <v>2431793320.1500001</v>
      </c>
      <c r="BT2" s="8">
        <f t="shared" si="1"/>
        <v>2229563566.1900001</v>
      </c>
      <c r="BU2" s="8">
        <f t="shared" si="1"/>
        <v>2274548122.1000004</v>
      </c>
      <c r="BV2" s="8">
        <f t="shared" si="1"/>
        <v>0</v>
      </c>
      <c r="BW2" s="8">
        <f t="shared" si="1"/>
        <v>0</v>
      </c>
      <c r="BX2" s="8">
        <f t="shared" si="1"/>
        <v>2275943905.4200001</v>
      </c>
      <c r="BY2" s="8">
        <f t="shared" si="1"/>
        <v>2137136693.78</v>
      </c>
      <c r="BZ2" s="8">
        <f t="shared" si="1"/>
        <v>2094506275.21</v>
      </c>
      <c r="CA2" s="8">
        <f t="shared" si="1"/>
        <v>2095210944.3799999</v>
      </c>
      <c r="CB2" s="8">
        <f t="shared" si="1"/>
        <v>2225388782.6900001</v>
      </c>
      <c r="CC2" s="8">
        <f t="shared" si="1"/>
        <v>0</v>
      </c>
      <c r="CD2" s="8">
        <f t="shared" si="1"/>
        <v>0</v>
      </c>
      <c r="CE2" s="8">
        <f t="shared" si="1"/>
        <v>0</v>
      </c>
      <c r="CF2" s="8">
        <f t="shared" si="1"/>
        <v>0</v>
      </c>
      <c r="CG2" s="8">
        <f t="shared" si="1"/>
        <v>2567389424.3000002</v>
      </c>
      <c r="CH2" s="8">
        <f t="shared" si="1"/>
        <v>2528905739.9499998</v>
      </c>
      <c r="CI2" s="8">
        <f t="shared" si="1"/>
        <v>2465913089.9499998</v>
      </c>
      <c r="CJ2" s="8">
        <f t="shared" si="1"/>
        <v>0</v>
      </c>
      <c r="CK2" s="8">
        <f t="shared" si="1"/>
        <v>0</v>
      </c>
      <c r="CL2" s="8">
        <f t="shared" si="1"/>
        <v>2371040754.8299999</v>
      </c>
      <c r="CM2" s="8">
        <f t="shared" si="1"/>
        <v>2421454406.1199999</v>
      </c>
      <c r="CN2" s="8">
        <f t="shared" si="1"/>
        <v>2382518626.1199999</v>
      </c>
      <c r="CO2" s="8">
        <f t="shared" si="1"/>
        <v>0</v>
      </c>
      <c r="CP2" s="8">
        <f t="shared" si="1"/>
        <v>0</v>
      </c>
      <c r="CQ2" s="8">
        <f t="shared" si="1"/>
        <v>0</v>
      </c>
      <c r="CR2" s="8">
        <f t="shared" si="1"/>
        <v>0</v>
      </c>
      <c r="CS2" s="8">
        <f t="shared" si="1"/>
        <v>1913508975.0099998</v>
      </c>
      <c r="CT2" s="8">
        <f t="shared" si="1"/>
        <v>1501139385.72</v>
      </c>
      <c r="CU2" s="8">
        <f t="shared" si="1"/>
        <v>0</v>
      </c>
      <c r="CV2" s="8">
        <f t="shared" si="1"/>
        <v>0</v>
      </c>
      <c r="CW2" s="8">
        <f t="shared" si="1"/>
        <v>0</v>
      </c>
      <c r="CX2" s="8">
        <f t="shared" ref="CX2:EL2" si="2">+CX15</f>
        <v>0</v>
      </c>
      <c r="CY2" s="8">
        <f t="shared" si="2"/>
        <v>0</v>
      </c>
      <c r="CZ2" s="8">
        <f t="shared" si="2"/>
        <v>2997830629.0899997</v>
      </c>
      <c r="DA2" s="8">
        <f t="shared" si="2"/>
        <v>2813576104.3299999</v>
      </c>
      <c r="DB2" s="8">
        <f t="shared" si="2"/>
        <v>2806601910.9899998</v>
      </c>
      <c r="DC2" s="8">
        <f t="shared" si="2"/>
        <v>2781354747.7599998</v>
      </c>
      <c r="DD2" s="8">
        <f t="shared" si="2"/>
        <v>2688460132.5999999</v>
      </c>
      <c r="DE2" s="8">
        <f t="shared" si="2"/>
        <v>0</v>
      </c>
      <c r="DF2" s="8">
        <f t="shared" si="2"/>
        <v>0</v>
      </c>
      <c r="DG2" s="8">
        <f t="shared" si="2"/>
        <v>2655429764.8399997</v>
      </c>
      <c r="DH2" s="8">
        <f t="shared" si="2"/>
        <v>2635595213.0899997</v>
      </c>
      <c r="DI2" s="8">
        <f t="shared" si="2"/>
        <v>2632977360.3899999</v>
      </c>
      <c r="DJ2" s="8">
        <f t="shared" si="2"/>
        <v>2902240412.27</v>
      </c>
      <c r="DK2" s="8">
        <f t="shared" si="2"/>
        <v>2904546504.1199999</v>
      </c>
      <c r="DL2" s="8">
        <f t="shared" si="2"/>
        <v>0</v>
      </c>
      <c r="DM2" s="8">
        <f t="shared" si="2"/>
        <v>0</v>
      </c>
      <c r="DN2" s="8">
        <f t="shared" si="2"/>
        <v>2764521942.6299996</v>
      </c>
      <c r="DO2" s="8">
        <f t="shared" si="2"/>
        <v>2759570296.0299997</v>
      </c>
      <c r="DP2" s="8">
        <f t="shared" si="2"/>
        <v>2756117327.1599998</v>
      </c>
      <c r="DQ2" s="8">
        <f t="shared" si="2"/>
        <v>2720734015.3099999</v>
      </c>
      <c r="DR2" s="8">
        <f t="shared" si="2"/>
        <v>0</v>
      </c>
      <c r="DS2" s="8">
        <f t="shared" si="2"/>
        <v>0</v>
      </c>
      <c r="DT2" s="8">
        <f t="shared" si="2"/>
        <v>0</v>
      </c>
      <c r="DU2" s="8">
        <f t="shared" si="2"/>
        <v>3704516193.9099998</v>
      </c>
      <c r="DV2" s="8">
        <f t="shared" si="2"/>
        <v>3697158822.5899997</v>
      </c>
      <c r="DW2" s="8">
        <f t="shared" si="2"/>
        <v>2772794850.4099998</v>
      </c>
      <c r="DX2" s="8">
        <f t="shared" si="2"/>
        <v>2567959300.1000004</v>
      </c>
      <c r="DY2" s="8">
        <f t="shared" si="2"/>
        <v>2503697530.6099997</v>
      </c>
      <c r="DZ2" s="8">
        <f t="shared" si="2"/>
        <v>0</v>
      </c>
      <c r="EA2" s="8">
        <f t="shared" si="2"/>
        <v>0</v>
      </c>
      <c r="EB2" s="8">
        <f t="shared" si="2"/>
        <v>2574442361.0999999</v>
      </c>
      <c r="EC2" s="8">
        <f t="shared" si="2"/>
        <v>2773024065.5599999</v>
      </c>
      <c r="ED2" s="8">
        <f>+ED15</f>
        <v>2787834626.1599998</v>
      </c>
      <c r="EE2" s="8">
        <f>+EE15</f>
        <v>2572310685.46</v>
      </c>
      <c r="EF2" s="8">
        <f t="shared" si="2"/>
        <v>2568060551.1300001</v>
      </c>
      <c r="EG2" s="8">
        <f t="shared" si="2"/>
        <v>0</v>
      </c>
      <c r="EH2" s="8">
        <f t="shared" si="2"/>
        <v>0</v>
      </c>
      <c r="EI2" s="8">
        <f t="shared" si="2"/>
        <v>2471859902.3500004</v>
      </c>
      <c r="EJ2" s="8">
        <f t="shared" si="2"/>
        <v>0</v>
      </c>
      <c r="EK2" s="8">
        <f t="shared" si="2"/>
        <v>0</v>
      </c>
      <c r="EL2" s="8">
        <f t="shared" si="2"/>
        <v>2296974665.0300002</v>
      </c>
      <c r="EM2" s="8">
        <f t="shared" ref="EM2:FM2" si="3">+EM15</f>
        <v>0</v>
      </c>
      <c r="EN2" s="8">
        <f t="shared" si="3"/>
        <v>0</v>
      </c>
      <c r="EO2" s="8">
        <f t="shared" si="3"/>
        <v>0</v>
      </c>
      <c r="EP2" s="8">
        <f t="shared" si="3"/>
        <v>0</v>
      </c>
      <c r="EQ2" s="8">
        <f t="shared" si="3"/>
        <v>2355294106.2700005</v>
      </c>
      <c r="ER2" s="8">
        <f t="shared" si="3"/>
        <v>2341897248.3200006</v>
      </c>
      <c r="ES2" s="8">
        <f t="shared" si="3"/>
        <v>2337675336.2700005</v>
      </c>
      <c r="ET2" s="8">
        <f t="shared" si="3"/>
        <v>2307726629.5900002</v>
      </c>
      <c r="EU2" s="8">
        <f t="shared" si="3"/>
        <v>0</v>
      </c>
      <c r="EV2" s="8">
        <f t="shared" si="3"/>
        <v>0</v>
      </c>
      <c r="EW2" s="8">
        <f t="shared" si="3"/>
        <v>2325934961.9900002</v>
      </c>
      <c r="EX2" s="8">
        <f t="shared" si="3"/>
        <v>2267737829.1199994</v>
      </c>
      <c r="EY2" s="8">
        <f t="shared" si="3"/>
        <v>2291322877.5499997</v>
      </c>
      <c r="EZ2" s="8">
        <f t="shared" si="3"/>
        <v>3283687644.5099998</v>
      </c>
      <c r="FA2" s="8">
        <f t="shared" si="3"/>
        <v>2317401537.9499998</v>
      </c>
      <c r="FB2" s="8">
        <f t="shared" si="3"/>
        <v>0</v>
      </c>
      <c r="FC2" s="8">
        <f t="shared" si="3"/>
        <v>0</v>
      </c>
      <c r="FD2" s="8">
        <f t="shared" si="3"/>
        <v>2727083649.0899997</v>
      </c>
      <c r="FE2" s="8">
        <f t="shared" si="3"/>
        <v>2731245286.8000002</v>
      </c>
      <c r="FF2" s="8">
        <f t="shared" si="3"/>
        <v>2766003061.8800001</v>
      </c>
      <c r="FG2" s="8">
        <f t="shared" si="3"/>
        <v>2759984627.27</v>
      </c>
      <c r="FH2" s="8">
        <f t="shared" si="3"/>
        <v>2385560547.3399997</v>
      </c>
      <c r="FI2" s="8">
        <f t="shared" si="3"/>
        <v>0</v>
      </c>
      <c r="FJ2" s="8">
        <f t="shared" si="3"/>
        <v>0</v>
      </c>
      <c r="FK2" s="8">
        <f t="shared" si="3"/>
        <v>0</v>
      </c>
      <c r="FL2" s="8">
        <f t="shared" si="3"/>
        <v>2489520209.8799996</v>
      </c>
      <c r="FM2" s="8">
        <f t="shared" si="3"/>
        <v>2445401570.4799995</v>
      </c>
      <c r="FN2" s="8">
        <f t="shared" ref="FN2:FV2" si="4">+FN15</f>
        <v>2509305657.1699996</v>
      </c>
      <c r="FO2" s="8">
        <f t="shared" si="4"/>
        <v>2478339279.5299997</v>
      </c>
      <c r="FP2" s="8">
        <f t="shared" si="4"/>
        <v>0</v>
      </c>
      <c r="FQ2" s="8">
        <f t="shared" si="4"/>
        <v>0</v>
      </c>
      <c r="FR2" s="8">
        <f t="shared" si="4"/>
        <v>2436551027.9599996</v>
      </c>
      <c r="FS2" s="8">
        <f t="shared" si="4"/>
        <v>2644747597.3899999</v>
      </c>
      <c r="FT2" s="8">
        <f t="shared" si="4"/>
        <v>2639044331.6000004</v>
      </c>
      <c r="FU2" s="8">
        <f t="shared" si="4"/>
        <v>2338975925.3000002</v>
      </c>
      <c r="FV2" s="8">
        <f t="shared" si="4"/>
        <v>2420807441.3500004</v>
      </c>
      <c r="FW2" s="8">
        <f t="shared" ref="FW2:HH2" si="5">+FW15</f>
        <v>0</v>
      </c>
      <c r="FX2" s="8">
        <f t="shared" si="5"/>
        <v>0</v>
      </c>
      <c r="FY2" s="8">
        <f t="shared" si="5"/>
        <v>3416804720.2300005</v>
      </c>
      <c r="FZ2" s="8">
        <f t="shared" si="5"/>
        <v>3450670324.4500008</v>
      </c>
      <c r="GA2" s="8">
        <f t="shared" si="5"/>
        <v>2949930129.2399998</v>
      </c>
      <c r="GB2" s="8">
        <f t="shared" si="5"/>
        <v>3051237732.8699999</v>
      </c>
      <c r="GC2" s="8">
        <f t="shared" si="5"/>
        <v>2961229621.6700001</v>
      </c>
      <c r="GD2" s="8">
        <f t="shared" si="5"/>
        <v>0</v>
      </c>
      <c r="GE2" s="8">
        <f t="shared" si="5"/>
        <v>0</v>
      </c>
      <c r="GF2" s="8">
        <f t="shared" si="5"/>
        <v>3428857564.2000003</v>
      </c>
      <c r="GG2" s="8">
        <f t="shared" si="5"/>
        <v>2370348094.4899998</v>
      </c>
      <c r="GH2" s="8">
        <f t="shared" si="5"/>
        <v>2504982007.7000003</v>
      </c>
      <c r="GI2" s="8">
        <f t="shared" si="5"/>
        <v>0</v>
      </c>
      <c r="GJ2" s="8">
        <f t="shared" si="5"/>
        <v>0</v>
      </c>
      <c r="GK2" s="8">
        <f t="shared" si="5"/>
        <v>0</v>
      </c>
      <c r="GL2" s="8">
        <f t="shared" si="5"/>
        <v>0</v>
      </c>
      <c r="GM2" s="8">
        <f t="shared" si="5"/>
        <v>0</v>
      </c>
      <c r="GN2" s="8">
        <f t="shared" si="5"/>
        <v>0</v>
      </c>
      <c r="GO2" s="8">
        <f t="shared" si="5"/>
        <v>0</v>
      </c>
      <c r="GP2" s="8">
        <f t="shared" si="5"/>
        <v>0</v>
      </c>
      <c r="GQ2" s="8">
        <f t="shared" si="5"/>
        <v>0</v>
      </c>
      <c r="GR2" s="8">
        <f t="shared" si="5"/>
        <v>0</v>
      </c>
      <c r="GS2" s="8">
        <f t="shared" si="5"/>
        <v>0</v>
      </c>
      <c r="GT2" s="8">
        <f t="shared" si="5"/>
        <v>0</v>
      </c>
      <c r="GU2" s="8">
        <f t="shared" si="5"/>
        <v>0</v>
      </c>
      <c r="GV2" s="8">
        <f t="shared" si="5"/>
        <v>0</v>
      </c>
      <c r="GW2" s="8">
        <f t="shared" si="5"/>
        <v>0</v>
      </c>
      <c r="GX2" s="8">
        <f t="shared" si="5"/>
        <v>0</v>
      </c>
      <c r="GY2" s="8">
        <f t="shared" si="5"/>
        <v>0</v>
      </c>
      <c r="GZ2" s="8">
        <f t="shared" si="5"/>
        <v>0</v>
      </c>
      <c r="HA2" s="8">
        <f t="shared" si="5"/>
        <v>0</v>
      </c>
      <c r="HB2" s="8">
        <f t="shared" si="5"/>
        <v>0</v>
      </c>
      <c r="HC2" s="8">
        <f t="shared" si="5"/>
        <v>0</v>
      </c>
      <c r="HD2" s="8">
        <f t="shared" si="5"/>
        <v>0</v>
      </c>
      <c r="HE2" s="8">
        <f t="shared" si="5"/>
        <v>0</v>
      </c>
      <c r="HF2" s="8">
        <f t="shared" si="5"/>
        <v>0</v>
      </c>
      <c r="HG2" s="8">
        <f t="shared" si="5"/>
        <v>0</v>
      </c>
      <c r="HH2" s="8">
        <f t="shared" si="5"/>
        <v>0</v>
      </c>
    </row>
    <row r="3" spans="1:216" ht="18.75" x14ac:dyDescent="0.25">
      <c r="A3" s="9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-133555.57999999999</v>
      </c>
      <c r="P3" s="1">
        <v>54673097.939999998</v>
      </c>
      <c r="Q3" s="1">
        <v>3628293.04</v>
      </c>
      <c r="R3" s="1">
        <v>0</v>
      </c>
      <c r="S3" s="1">
        <v>0</v>
      </c>
      <c r="T3" s="1">
        <v>6806169</v>
      </c>
      <c r="U3" s="1">
        <v>6734152.6100000003</v>
      </c>
      <c r="V3" s="1">
        <v>-152954817.65000001</v>
      </c>
      <c r="W3" s="1">
        <v>3951445.08</v>
      </c>
      <c r="X3" s="1"/>
      <c r="Y3" s="1"/>
      <c r="Z3" s="1"/>
      <c r="AA3" s="1">
        <v>-32156422.989999998</v>
      </c>
      <c r="AB3" s="1">
        <v>13599358.49</v>
      </c>
      <c r="AC3" s="1">
        <v>1084040.73</v>
      </c>
      <c r="AD3" s="1">
        <v>12938221.18</v>
      </c>
      <c r="AE3" s="1"/>
      <c r="AF3" s="1"/>
      <c r="AG3" s="1"/>
      <c r="AH3" s="1">
        <v>-15770343.41</v>
      </c>
      <c r="AI3" s="1">
        <v>3604005.52</v>
      </c>
      <c r="AJ3" s="1">
        <v>70330266.079999998</v>
      </c>
      <c r="AK3" s="1">
        <v>22510438.420000002</v>
      </c>
      <c r="AL3" s="1"/>
      <c r="AM3" s="1"/>
      <c r="AN3" s="1"/>
      <c r="AO3" s="1">
        <v>1714106.04</v>
      </c>
      <c r="AP3" s="1">
        <v>-6151452.4699999997</v>
      </c>
      <c r="AQ3" s="1">
        <v>3020641.74</v>
      </c>
      <c r="AR3" s="1">
        <v>118252008.2</v>
      </c>
      <c r="AS3" s="1">
        <v>3698239.43</v>
      </c>
      <c r="AT3" s="1"/>
      <c r="AU3" s="1"/>
      <c r="AV3" s="1"/>
      <c r="AW3" s="1"/>
      <c r="AX3" s="1">
        <v>119629959.8</v>
      </c>
      <c r="AY3" s="1">
        <v>59866642.219999999</v>
      </c>
      <c r="AZ3" s="1">
        <v>82674936.370000005</v>
      </c>
      <c r="BA3" s="1"/>
      <c r="BB3" s="1"/>
      <c r="BC3" s="1"/>
      <c r="BD3" s="1"/>
      <c r="BE3" s="1">
        <v>5498125.8300000001</v>
      </c>
      <c r="BF3" s="1">
        <v>3449527.98</v>
      </c>
      <c r="BG3" s="1">
        <v>16081964.65</v>
      </c>
      <c r="BH3" s="1"/>
      <c r="BI3" s="1"/>
      <c r="BJ3" s="1">
        <v>46023373.100000001</v>
      </c>
      <c r="BK3" s="1">
        <v>-1867117.19</v>
      </c>
      <c r="BL3" s="1">
        <v>19939413.739999998</v>
      </c>
      <c r="BM3" s="1">
        <v>4224474.8899999997</v>
      </c>
      <c r="BN3" s="1">
        <v>231697474.33000001</v>
      </c>
      <c r="BO3" s="1"/>
      <c r="BP3" s="1"/>
      <c r="BQ3" s="1">
        <v>348242921.86000001</v>
      </c>
      <c r="BR3" s="1">
        <v>2802533.04</v>
      </c>
      <c r="BS3" s="1">
        <v>1793988.48</v>
      </c>
      <c r="BT3" s="1">
        <v>1763405.22</v>
      </c>
      <c r="BU3" s="1">
        <v>47042986.810000002</v>
      </c>
      <c r="BV3" s="1"/>
      <c r="BW3" s="1"/>
      <c r="BX3" s="1">
        <v>45342486.140000001</v>
      </c>
      <c r="BY3" s="1">
        <v>17202907.300000001</v>
      </c>
      <c r="BZ3" s="1">
        <v>3641474.7</v>
      </c>
      <c r="CA3" s="1">
        <v>3440570.55</v>
      </c>
      <c r="CB3" s="1">
        <v>134272006.66999999</v>
      </c>
      <c r="CC3" s="1"/>
      <c r="CD3" s="1"/>
      <c r="CE3" s="1"/>
      <c r="CF3" s="1"/>
      <c r="CG3" s="1">
        <v>482290421.94</v>
      </c>
      <c r="CH3" s="1">
        <v>-22306735.300000001</v>
      </c>
      <c r="CI3" s="1">
        <v>53667443.549999997</v>
      </c>
      <c r="CJ3" s="1"/>
      <c r="CK3" s="1"/>
      <c r="CL3" s="1">
        <v>-60465418.479999997</v>
      </c>
      <c r="CM3" s="1">
        <v>58946298.810000002</v>
      </c>
      <c r="CN3" s="1">
        <v>16450597.24</v>
      </c>
      <c r="CO3" s="1"/>
      <c r="CP3" s="1"/>
      <c r="CQ3" s="1"/>
      <c r="CR3" s="1"/>
      <c r="CS3" s="1">
        <v>460197.18</v>
      </c>
      <c r="CT3" s="1">
        <v>60780735.090000004</v>
      </c>
      <c r="CU3" s="1"/>
      <c r="CV3" s="1"/>
      <c r="CW3" s="1"/>
      <c r="CX3" s="1"/>
      <c r="CY3" s="1"/>
      <c r="CZ3" s="1">
        <v>2625335.4500000002</v>
      </c>
      <c r="DA3" s="1">
        <v>-7985569.5</v>
      </c>
      <c r="DB3" s="1">
        <v>3215670.26</v>
      </c>
      <c r="DC3" s="1">
        <v>3467536.11</v>
      </c>
      <c r="DD3" s="1">
        <v>41955826.670000002</v>
      </c>
      <c r="DE3" s="1"/>
      <c r="DF3" s="1"/>
      <c r="DG3" s="1">
        <v>10080587.99</v>
      </c>
      <c r="DH3" s="1">
        <v>7764971.9000000004</v>
      </c>
      <c r="DI3" s="1">
        <v>2764850.17</v>
      </c>
      <c r="DJ3" s="1">
        <v>270831567.25</v>
      </c>
      <c r="DK3" s="1">
        <v>264286885.90000001</v>
      </c>
      <c r="DL3" s="1"/>
      <c r="DM3" s="1"/>
      <c r="DN3" s="1">
        <v>-9151828.5199999996</v>
      </c>
      <c r="DO3" s="1">
        <v>2127397.85</v>
      </c>
      <c r="DP3" s="1">
        <v>35558930.560000002</v>
      </c>
      <c r="DQ3" s="1">
        <v>2291896.6800000002</v>
      </c>
      <c r="DR3" s="1"/>
      <c r="DS3" s="1"/>
      <c r="DT3" s="1"/>
      <c r="DU3" s="1">
        <v>-45406099.890000001</v>
      </c>
      <c r="DV3" s="1">
        <v>72645248.340000004</v>
      </c>
      <c r="DW3" s="1">
        <v>101462186.53</v>
      </c>
      <c r="DX3" s="1">
        <v>100576240.93000001</v>
      </c>
      <c r="DY3" s="1">
        <v>2301969.06</v>
      </c>
      <c r="DZ3" s="1"/>
      <c r="EA3" s="1"/>
      <c r="EB3" s="1">
        <v>442750.63</v>
      </c>
      <c r="EC3" s="1">
        <v>84910515.219999999</v>
      </c>
      <c r="ED3" s="1">
        <v>70207906.010000005</v>
      </c>
      <c r="EE3" s="1">
        <v>-963408.58</v>
      </c>
      <c r="EF3" s="1">
        <v>74994094.510000005</v>
      </c>
      <c r="EG3" s="1"/>
      <c r="EH3" s="1"/>
      <c r="EI3" s="1">
        <v>-23030441.620000001</v>
      </c>
      <c r="EJ3" s="1"/>
      <c r="EK3" s="1"/>
      <c r="EL3" s="1">
        <v>9465208.9399999995</v>
      </c>
      <c r="EM3" s="1"/>
      <c r="EN3" s="1"/>
      <c r="EO3" s="1"/>
      <c r="EP3" s="1"/>
      <c r="EQ3" s="1">
        <v>369526067.30000001</v>
      </c>
      <c r="ER3" s="1">
        <v>5141698.4800000004</v>
      </c>
      <c r="ES3" s="1">
        <v>3296134.86</v>
      </c>
      <c r="ET3" s="1">
        <v>1930353.97</v>
      </c>
      <c r="EU3" s="1"/>
      <c r="EV3" s="1"/>
      <c r="EW3" s="1">
        <v>32184767.879999999</v>
      </c>
      <c r="EX3" s="1">
        <v>3237909.18</v>
      </c>
      <c r="EY3" s="1">
        <v>77866734.290000007</v>
      </c>
      <c r="EZ3" s="1">
        <v>20056722.68</v>
      </c>
      <c r="FA3" s="1">
        <v>28178390.670000002</v>
      </c>
      <c r="FB3" s="1"/>
      <c r="FC3" s="1"/>
      <c r="FD3" s="1">
        <v>21798861.140000001</v>
      </c>
      <c r="FE3" s="1">
        <v>7610050.9100000001</v>
      </c>
      <c r="FF3" s="1">
        <v>7516120.4100000001</v>
      </c>
      <c r="FG3" s="1">
        <v>1809353.93</v>
      </c>
      <c r="FH3" s="1">
        <v>79888934.909999996</v>
      </c>
      <c r="FI3" s="1"/>
      <c r="FJ3" s="1"/>
      <c r="FK3" s="1"/>
      <c r="FL3" s="1">
        <v>126882234.73999999</v>
      </c>
      <c r="FM3" s="1">
        <v>2712967.25</v>
      </c>
      <c r="FN3" s="1">
        <v>95947182.010000005</v>
      </c>
      <c r="FO3" s="1">
        <v>-11306125.41</v>
      </c>
      <c r="FP3" s="1"/>
      <c r="FQ3" s="1"/>
      <c r="FR3" s="1">
        <v>6826569.1299999999</v>
      </c>
      <c r="FS3" s="1">
        <v>300582487.64999998</v>
      </c>
      <c r="FT3" s="1">
        <v>5175288.54</v>
      </c>
      <c r="FU3" s="1">
        <v>3305392.6</v>
      </c>
      <c r="FV3" s="1">
        <v>129821370.75</v>
      </c>
      <c r="FW3" s="1"/>
      <c r="FX3" s="1"/>
      <c r="FY3" s="1">
        <v>71428535.319999993</v>
      </c>
      <c r="FZ3" s="1">
        <v>4827194.1900000004</v>
      </c>
      <c r="GA3" s="1">
        <v>-1496819.86</v>
      </c>
      <c r="GB3" s="1">
        <v>72873692.650000006</v>
      </c>
      <c r="GC3" s="1">
        <v>18555098.93</v>
      </c>
      <c r="GD3" s="1"/>
      <c r="GE3" s="1"/>
      <c r="GF3" s="1">
        <v>2760713.41</v>
      </c>
      <c r="GG3" s="1">
        <v>26086251.469999999</v>
      </c>
      <c r="GH3" s="1">
        <v>108848768.69</v>
      </c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</row>
    <row r="4" spans="1:216" ht="18.75" x14ac:dyDescent="0.25">
      <c r="A4" s="9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437449616.69999999</v>
      </c>
      <c r="P4" s="1">
        <v>431760963.17000002</v>
      </c>
      <c r="Q4" s="1">
        <v>455092244.39999998</v>
      </c>
      <c r="R4" s="1">
        <v>0</v>
      </c>
      <c r="S4" s="1">
        <v>0</v>
      </c>
      <c r="T4" s="1">
        <v>400962316.77999997</v>
      </c>
      <c r="U4" s="1">
        <v>401255630.24000001</v>
      </c>
      <c r="V4" s="1">
        <v>398552466.44999999</v>
      </c>
      <c r="W4" s="1">
        <v>238731460.68000001</v>
      </c>
      <c r="X4" s="1"/>
      <c r="Y4" s="1"/>
      <c r="Z4" s="1"/>
      <c r="AA4" s="1">
        <v>273491192.67000002</v>
      </c>
      <c r="AB4" s="1">
        <v>235646688.55000001</v>
      </c>
      <c r="AC4" s="1">
        <v>235799237.94999999</v>
      </c>
      <c r="AD4" s="1">
        <v>235947090.72</v>
      </c>
      <c r="AE4" s="1"/>
      <c r="AF4" s="1"/>
      <c r="AG4" s="1"/>
      <c r="AH4" s="1">
        <v>351820478.38999999</v>
      </c>
      <c r="AI4" s="1">
        <v>352086829.18000001</v>
      </c>
      <c r="AJ4" s="1">
        <v>287302859.81999999</v>
      </c>
      <c r="AK4" s="1">
        <v>0</v>
      </c>
      <c r="AL4" s="1"/>
      <c r="AM4" s="1"/>
      <c r="AN4" s="1"/>
      <c r="AO4" s="1">
        <v>47105595.460000001</v>
      </c>
      <c r="AP4" s="1">
        <v>1181899504.1600001</v>
      </c>
      <c r="AQ4" s="1">
        <v>1152676106.25</v>
      </c>
      <c r="AR4" s="1">
        <v>833227915.25999999</v>
      </c>
      <c r="AS4" s="1">
        <v>756756656.62</v>
      </c>
      <c r="AT4" s="1"/>
      <c r="AU4" s="1"/>
      <c r="AV4" s="1"/>
      <c r="AW4" s="1"/>
      <c r="AX4" s="1">
        <v>676323838.40999997</v>
      </c>
      <c r="AY4" s="1">
        <v>676853227.27999997</v>
      </c>
      <c r="AZ4" s="1">
        <v>677392986.72000003</v>
      </c>
      <c r="BA4" s="1"/>
      <c r="BB4" s="1"/>
      <c r="BC4" s="1"/>
      <c r="BD4" s="1"/>
      <c r="BE4" s="1">
        <v>463689893.87</v>
      </c>
      <c r="BF4" s="1">
        <v>456991262.50999999</v>
      </c>
      <c r="BG4" s="1">
        <v>457281784.32999998</v>
      </c>
      <c r="BH4" s="1"/>
      <c r="BI4" s="1"/>
      <c r="BJ4" s="1">
        <v>458136525.94999999</v>
      </c>
      <c r="BK4" s="1">
        <v>1531061371.8499999</v>
      </c>
      <c r="BL4" s="1">
        <v>1509996565.8900001</v>
      </c>
      <c r="BM4" s="1">
        <v>1492898926.4300001</v>
      </c>
      <c r="BN4" s="1">
        <v>1073560852.15</v>
      </c>
      <c r="BO4" s="1"/>
      <c r="BP4" s="1"/>
      <c r="BQ4" s="1">
        <v>1075571159.6700001</v>
      </c>
      <c r="BR4" s="1">
        <v>1335385683.74</v>
      </c>
      <c r="BS4" s="1">
        <v>1341201926.23</v>
      </c>
      <c r="BT4" s="1">
        <v>1086855165.71</v>
      </c>
      <c r="BU4" s="1">
        <f>40000000+1037507192.88</f>
        <v>1077507192.8800001</v>
      </c>
      <c r="BV4" s="1"/>
      <c r="BW4" s="1"/>
      <c r="BX4" s="1">
        <v>1079472758</v>
      </c>
      <c r="BY4" s="1">
        <v>1040098422.38</v>
      </c>
      <c r="BZ4" s="1">
        <v>1010719834.42</v>
      </c>
      <c r="CA4" s="1">
        <v>1011316866.02</v>
      </c>
      <c r="CB4" s="1">
        <v>1011920926.0599999</v>
      </c>
      <c r="CC4" s="1"/>
      <c r="CD4" s="1"/>
      <c r="CE4" s="1"/>
      <c r="CF4" s="1"/>
      <c r="CG4" s="1">
        <v>1015009056.8099999</v>
      </c>
      <c r="CH4" s="1">
        <v>1480866287.75</v>
      </c>
      <c r="CI4" s="1">
        <v>1341636899.78</v>
      </c>
      <c r="CJ4" s="1"/>
      <c r="CK4" s="1"/>
      <c r="CL4" s="1">
        <v>1364111290.1600001</v>
      </c>
      <c r="CM4" s="1">
        <v>1294825048.8</v>
      </c>
      <c r="CN4" s="1">
        <f>460000000+835570200.78</f>
        <v>1295570200.78</v>
      </c>
      <c r="CO4" s="1"/>
      <c r="CP4" s="1"/>
      <c r="CQ4" s="1"/>
      <c r="CR4" s="1"/>
      <c r="CS4" s="1">
        <v>893017387.71000004</v>
      </c>
      <c r="CT4" s="1">
        <v>883493487.63</v>
      </c>
      <c r="CU4" s="1"/>
      <c r="CV4" s="1"/>
      <c r="CW4" s="1"/>
      <c r="CX4" s="1"/>
      <c r="CY4" s="1"/>
      <c r="CZ4" s="1">
        <v>701196856.59000003</v>
      </c>
      <c r="DA4" s="1">
        <v>411417330.49000001</v>
      </c>
      <c r="DB4" s="1">
        <v>398627781.70999998</v>
      </c>
      <c r="DC4" s="1">
        <v>376825664.63999999</v>
      </c>
      <c r="DD4" s="1">
        <v>256959946.61000001</v>
      </c>
      <c r="DE4" s="1"/>
      <c r="DF4" s="1"/>
      <c r="DG4" s="1">
        <v>247321019.19999999</v>
      </c>
      <c r="DH4" s="1">
        <v>247439876.91</v>
      </c>
      <c r="DI4" s="1">
        <v>247559272.16</v>
      </c>
      <c r="DJ4" s="1">
        <v>247679247.27000001</v>
      </c>
      <c r="DK4" s="1">
        <v>247797318.56999999</v>
      </c>
      <c r="DL4" s="1"/>
      <c r="DM4" s="1"/>
      <c r="DN4" s="1">
        <v>381356416</v>
      </c>
      <c r="DO4" s="1">
        <v>364033568</v>
      </c>
      <c r="DP4" s="1">
        <v>319193120</v>
      </c>
      <c r="DQ4" s="1">
        <v>344366656</v>
      </c>
      <c r="DR4" s="1"/>
      <c r="DS4" s="1"/>
      <c r="DT4" s="1"/>
      <c r="DU4" s="1">
        <v>1387194620</v>
      </c>
      <c r="DV4" s="1">
        <v>1272830340</v>
      </c>
      <c r="DW4" s="1">
        <v>1273467140</v>
      </c>
      <c r="DX4" s="1">
        <v>1274088450</v>
      </c>
      <c r="DY4" s="1">
        <v>1314733440</v>
      </c>
      <c r="DZ4" s="1"/>
      <c r="EA4" s="1"/>
      <c r="EB4" s="1">
        <v>1346742780</v>
      </c>
      <c r="EC4" s="1">
        <v>315894336</v>
      </c>
      <c r="ED4" s="1">
        <v>396084064</v>
      </c>
      <c r="EE4" s="1">
        <v>251203168</v>
      </c>
      <c r="EF4" s="1">
        <v>184291648</v>
      </c>
      <c r="EG4" s="1"/>
      <c r="EH4" s="1"/>
      <c r="EI4" s="1">
        <v>184553488</v>
      </c>
      <c r="EJ4" s="1"/>
      <c r="EK4" s="1"/>
      <c r="EL4" s="1">
        <v>0</v>
      </c>
      <c r="EM4" s="1"/>
      <c r="EN4" s="1"/>
      <c r="EO4" s="1"/>
      <c r="EP4" s="1"/>
      <c r="EQ4" s="1">
        <v>0</v>
      </c>
      <c r="ER4" s="1">
        <v>350170039.44999999</v>
      </c>
      <c r="ES4" s="1">
        <v>350339464.33999997</v>
      </c>
      <c r="ET4" s="1">
        <v>345507382.79000002</v>
      </c>
      <c r="EU4" s="1"/>
      <c r="EV4" s="1"/>
      <c r="EW4" s="1">
        <v>340994369.63999999</v>
      </c>
      <c r="EX4" s="1">
        <v>283128954.23000002</v>
      </c>
      <c r="EY4" s="1">
        <v>233240280.44999999</v>
      </c>
      <c r="EZ4" s="1">
        <v>1283843580</v>
      </c>
      <c r="FA4" s="1">
        <v>944291255.36000001</v>
      </c>
      <c r="FB4" s="1"/>
      <c r="FC4" s="1"/>
      <c r="FD4" s="1">
        <v>945630090.85000002</v>
      </c>
      <c r="FE4" s="1">
        <v>966085072.62</v>
      </c>
      <c r="FF4" s="1">
        <v>1001554308.0700001</v>
      </c>
      <c r="FG4" s="1">
        <v>1010025481.24</v>
      </c>
      <c r="FH4" s="1">
        <v>568289906.85000002</v>
      </c>
      <c r="FI4" s="1"/>
      <c r="FJ4" s="1"/>
      <c r="FK4" s="1"/>
      <c r="FL4" s="1">
        <v>569339460</v>
      </c>
      <c r="FM4" s="1">
        <v>667653340.69000006</v>
      </c>
      <c r="FN4" s="1">
        <v>642954058.50999999</v>
      </c>
      <c r="FO4" s="1">
        <v>725295311.37</v>
      </c>
      <c r="FP4" s="1"/>
      <c r="FQ4" s="1"/>
      <c r="FR4" s="1">
        <v>608131516.03999996</v>
      </c>
      <c r="FS4" s="1">
        <v>519370092.41000003</v>
      </c>
      <c r="FT4" s="1">
        <v>809746450.74000001</v>
      </c>
      <c r="FU4" s="1">
        <v>516989866.24000001</v>
      </c>
      <c r="FV4" s="1">
        <v>467212696.93000001</v>
      </c>
      <c r="FW4" s="1"/>
      <c r="FX4" s="1"/>
      <c r="FY4" s="1">
        <v>1519408793.1800001</v>
      </c>
      <c r="FZ4" s="1">
        <f>80000000+1540197114.63</f>
        <v>1620197114.6300001</v>
      </c>
      <c r="GA4" s="1">
        <v>1540898527.6900001</v>
      </c>
      <c r="GB4" s="1">
        <f>1521614442.22+50000000</f>
        <v>1571614442.22</v>
      </c>
      <c r="GC4" s="1">
        <v>1472299842.72</v>
      </c>
      <c r="GD4" s="1"/>
      <c r="GE4" s="1"/>
      <c r="GF4" s="1">
        <v>1491397546.6400001</v>
      </c>
      <c r="GG4" s="1">
        <v>965853430.76999998</v>
      </c>
      <c r="GH4" s="1">
        <v>941292964.35000002</v>
      </c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</row>
    <row r="5" spans="1:216" ht="18.75" x14ac:dyDescent="0.25">
      <c r="A5" s="9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5300116.57</v>
      </c>
      <c r="P5" s="1">
        <v>5300116.57</v>
      </c>
      <c r="Q5" s="1">
        <v>5204116.57</v>
      </c>
      <c r="R5" s="1">
        <v>0</v>
      </c>
      <c r="S5" s="1">
        <v>0</v>
      </c>
      <c r="T5" s="1">
        <v>1204116.58</v>
      </c>
      <c r="U5" s="1">
        <v>1204116.58</v>
      </c>
      <c r="V5" s="1">
        <v>1204116.58</v>
      </c>
      <c r="W5" s="1">
        <v>88412.31</v>
      </c>
      <c r="X5" s="1"/>
      <c r="Y5" s="1"/>
      <c r="Z5" s="1"/>
      <c r="AA5" s="1">
        <v>88409.91</v>
      </c>
      <c r="AB5" s="1">
        <v>88409.91</v>
      </c>
      <c r="AC5" s="1">
        <v>88409.91</v>
      </c>
      <c r="AD5" s="1">
        <v>16117474.98</v>
      </c>
      <c r="AE5" s="1"/>
      <c r="AF5" s="1"/>
      <c r="AG5" s="1"/>
      <c r="AH5" s="1">
        <v>2313353.6800000002</v>
      </c>
      <c r="AI5" s="1">
        <v>2182887.14</v>
      </c>
      <c r="AJ5" s="1">
        <v>3250022.73</v>
      </c>
      <c r="AK5" s="1">
        <v>3861986.47</v>
      </c>
      <c r="AL5" s="1"/>
      <c r="AM5" s="1"/>
      <c r="AN5" s="1"/>
      <c r="AO5" s="1">
        <v>510086695.30000001</v>
      </c>
      <c r="AP5" s="1">
        <v>-15003.72</v>
      </c>
      <c r="AQ5" s="1">
        <v>-30536.32</v>
      </c>
      <c r="AR5" s="1">
        <v>2351686.5</v>
      </c>
      <c r="AS5" s="1">
        <v>801021.34</v>
      </c>
      <c r="AT5" s="1"/>
      <c r="AU5" s="1"/>
      <c r="AV5" s="1"/>
      <c r="AW5" s="1"/>
      <c r="AX5" s="1">
        <v>3421614.1</v>
      </c>
      <c r="AY5" s="1">
        <v>3412069.6</v>
      </c>
      <c r="AZ5" s="1">
        <v>3412066.34</v>
      </c>
      <c r="BA5" s="1"/>
      <c r="BB5" s="1"/>
      <c r="BC5" s="1"/>
      <c r="BD5" s="1"/>
      <c r="BE5" s="1">
        <v>1703021.2</v>
      </c>
      <c r="BF5" s="1">
        <v>1703021.2</v>
      </c>
      <c r="BG5" s="1">
        <v>1198746.23</v>
      </c>
      <c r="BH5" s="1"/>
      <c r="BI5" s="1"/>
      <c r="BJ5" s="1">
        <v>957413.43</v>
      </c>
      <c r="BK5" s="1">
        <v>826579.31</v>
      </c>
      <c r="BL5" s="1">
        <v>825865.59</v>
      </c>
      <c r="BM5" s="1">
        <v>4609135.24</v>
      </c>
      <c r="BN5" s="1">
        <v>-3263323.27</v>
      </c>
      <c r="BO5" s="1"/>
      <c r="BP5" s="1"/>
      <c r="BQ5" s="1">
        <v>-3266265.72</v>
      </c>
      <c r="BR5" s="1">
        <v>440587070.5</v>
      </c>
      <c r="BS5" s="1">
        <v>-2933655.36</v>
      </c>
      <c r="BT5" s="1">
        <v>4821234.43</v>
      </c>
      <c r="BU5" s="1">
        <v>4281738.7699999996</v>
      </c>
      <c r="BV5" s="1"/>
      <c r="BW5" s="1"/>
      <c r="BX5" s="1">
        <v>261297629.18000001</v>
      </c>
      <c r="BY5" s="1">
        <v>2827024.67</v>
      </c>
      <c r="BZ5" s="1">
        <v>2827024.67</v>
      </c>
      <c r="CA5" s="1">
        <v>2827024.67</v>
      </c>
      <c r="CB5" s="1">
        <v>1264375.7</v>
      </c>
      <c r="CC5" s="1"/>
      <c r="CD5" s="1"/>
      <c r="CE5" s="1"/>
      <c r="CF5" s="1"/>
      <c r="CG5" s="1">
        <v>2647067.2000000002</v>
      </c>
      <c r="CH5" s="1">
        <v>343253.39</v>
      </c>
      <c r="CI5" s="1">
        <v>342744.53</v>
      </c>
      <c r="CJ5" s="1"/>
      <c r="CK5" s="1"/>
      <c r="CL5" s="1">
        <v>1289421.3500000001</v>
      </c>
      <c r="CM5" s="1">
        <v>1289421.3500000001</v>
      </c>
      <c r="CN5" s="1">
        <v>1289421.3500000001</v>
      </c>
      <c r="CO5" s="1"/>
      <c r="CP5" s="1"/>
      <c r="CQ5" s="1"/>
      <c r="CR5" s="1"/>
      <c r="CS5" s="1">
        <v>468000501.01999998</v>
      </c>
      <c r="CT5" s="1"/>
      <c r="CU5" s="1"/>
      <c r="CV5" s="1"/>
      <c r="CW5" s="1"/>
      <c r="CX5" s="1"/>
      <c r="CY5" s="1"/>
      <c r="CZ5" s="1">
        <v>-17935.66</v>
      </c>
      <c r="DA5" s="1">
        <v>-29892.38</v>
      </c>
      <c r="DB5" s="1">
        <v>308626795.64999998</v>
      </c>
      <c r="DC5" s="1">
        <v>8626795.5199999996</v>
      </c>
      <c r="DD5" s="1">
        <v>3999319.54</v>
      </c>
      <c r="DE5" s="1"/>
      <c r="DF5" s="1"/>
      <c r="DG5" s="1">
        <v>3932309.54</v>
      </c>
      <c r="DH5" s="1">
        <v>2024742.3</v>
      </c>
      <c r="DI5" s="1">
        <v>252833.04</v>
      </c>
      <c r="DJ5" s="1">
        <v>252833.04</v>
      </c>
      <c r="DK5" s="1">
        <v>7903462.4000000004</v>
      </c>
      <c r="DL5" s="1"/>
      <c r="DM5" s="1"/>
      <c r="DN5" s="1">
        <v>903437.2</v>
      </c>
      <c r="DO5" s="1">
        <v>903437.2</v>
      </c>
      <c r="DP5" s="1">
        <v>903437.2</v>
      </c>
      <c r="DQ5" s="1">
        <v>924049.21</v>
      </c>
      <c r="DR5" s="1"/>
      <c r="DS5" s="1"/>
      <c r="DT5" s="1"/>
      <c r="DU5" s="1">
        <v>268611.33</v>
      </c>
      <c r="DV5" s="1">
        <v>130114.06</v>
      </c>
      <c r="DW5" s="1">
        <v>9025262.8599999994</v>
      </c>
      <c r="DX5" s="1">
        <v>-3079.88</v>
      </c>
      <c r="DY5" s="1">
        <v>2655958.11</v>
      </c>
      <c r="DZ5" s="1"/>
      <c r="EA5" s="1"/>
      <c r="EB5" s="1">
        <v>41900981.240000002</v>
      </c>
      <c r="EC5" s="1">
        <v>36316466.850000001</v>
      </c>
      <c r="ED5" s="1">
        <v>3256174.43</v>
      </c>
      <c r="EE5" s="1">
        <v>1256174.43</v>
      </c>
      <c r="EF5" s="1">
        <v>3216517.78</v>
      </c>
      <c r="EG5" s="1"/>
      <c r="EH5" s="1"/>
      <c r="EI5" s="1">
        <v>3216509.78</v>
      </c>
      <c r="EJ5" s="1"/>
      <c r="EK5" s="1"/>
      <c r="EL5" s="1">
        <v>3216509.78</v>
      </c>
      <c r="EM5" s="1"/>
      <c r="EN5" s="1"/>
      <c r="EO5" s="1"/>
      <c r="EP5" s="1"/>
      <c r="EQ5" s="1">
        <v>1822366.02</v>
      </c>
      <c r="ER5" s="1">
        <v>1621166.02</v>
      </c>
      <c r="ES5" s="1">
        <v>1994280.49</v>
      </c>
      <c r="ET5" s="1">
        <v>2659626.4900000002</v>
      </c>
      <c r="EU5" s="1"/>
      <c r="EV5" s="1"/>
      <c r="EW5" s="1">
        <v>2228868.9300000002</v>
      </c>
      <c r="EX5" s="1">
        <v>2073589.83</v>
      </c>
      <c r="EY5" s="1">
        <v>2073529.83</v>
      </c>
      <c r="EZ5" s="1">
        <v>4871146.63</v>
      </c>
      <c r="FA5" s="1">
        <v>-1764538.55</v>
      </c>
      <c r="FB5" s="1"/>
      <c r="FC5" s="1"/>
      <c r="FD5" s="1">
        <v>413743814.56</v>
      </c>
      <c r="FE5" s="1">
        <v>2884802.21</v>
      </c>
      <c r="FF5" s="1">
        <v>2884802.21</v>
      </c>
      <c r="FG5" s="1">
        <v>3155810.14</v>
      </c>
      <c r="FH5" s="1">
        <v>2420139.12</v>
      </c>
      <c r="FI5" s="1"/>
      <c r="FJ5" s="1"/>
      <c r="FK5" s="1"/>
      <c r="FL5" s="1">
        <v>2346454.7599999998</v>
      </c>
      <c r="FM5" s="1">
        <v>5442303.71</v>
      </c>
      <c r="FN5" s="1">
        <v>5442303.71</v>
      </c>
      <c r="FO5" s="1">
        <v>1730765.24</v>
      </c>
      <c r="FP5" s="1"/>
      <c r="FQ5" s="1"/>
      <c r="FR5" s="1">
        <v>1708924.75</v>
      </c>
      <c r="FS5" s="1">
        <v>285995.96999999997</v>
      </c>
      <c r="FT5" s="1">
        <v>285995.96999999997</v>
      </c>
      <c r="FU5" s="1">
        <v>2265018.83</v>
      </c>
      <c r="FV5" s="1">
        <v>2228893.65</v>
      </c>
      <c r="FW5" s="1"/>
      <c r="FX5" s="1"/>
      <c r="FY5" s="1">
        <v>1497102.7</v>
      </c>
      <c r="FZ5" s="1">
        <v>1497102.7</v>
      </c>
      <c r="GA5" s="1">
        <v>2731422.6</v>
      </c>
      <c r="GB5" s="1">
        <v>5961651.4500000002</v>
      </c>
      <c r="GC5" s="1">
        <v>5961651.4500000002</v>
      </c>
      <c r="GD5" s="1"/>
      <c r="GE5" s="1"/>
      <c r="GF5" s="1">
        <v>-1025176.12</v>
      </c>
      <c r="GG5" s="1">
        <v>17997828.379999999</v>
      </c>
      <c r="GH5" s="1">
        <v>3312972.47</v>
      </c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</row>
    <row r="6" spans="1:216" ht="18.75" x14ac:dyDescent="0.25">
      <c r="A6" s="9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658716998.15999997</v>
      </c>
      <c r="P6" s="1">
        <f>659226411.99</f>
        <v>659226411.99000001</v>
      </c>
      <c r="Q6" s="1">
        <v>659718200.72000003</v>
      </c>
      <c r="R6" s="1">
        <v>0</v>
      </c>
      <c r="S6" s="1">
        <v>0</v>
      </c>
      <c r="T6" s="1">
        <v>665218128.54999995</v>
      </c>
      <c r="U6" s="1">
        <v>665708500.98000002</v>
      </c>
      <c r="V6" s="1">
        <v>666194211.78999996</v>
      </c>
      <c r="W6" s="1">
        <v>666699452.55999994</v>
      </c>
      <c r="X6" s="1"/>
      <c r="Y6" s="1"/>
      <c r="Z6" s="1"/>
      <c r="AA6" s="1">
        <v>668635072.83000004</v>
      </c>
      <c r="AB6" s="1">
        <v>669088439.09000003</v>
      </c>
      <c r="AC6" s="1">
        <v>669501218.67999995</v>
      </c>
      <c r="AD6" s="1">
        <v>669914719.02999997</v>
      </c>
      <c r="AE6" s="1"/>
      <c r="AF6" s="1"/>
      <c r="AG6" s="1"/>
      <c r="AH6" s="1">
        <v>684730981.73000002</v>
      </c>
      <c r="AI6" s="1">
        <v>685252431.55999994</v>
      </c>
      <c r="AJ6" s="1">
        <v>673758377.32000005</v>
      </c>
      <c r="AK6" s="1">
        <v>58417.89</v>
      </c>
      <c r="AL6" s="1"/>
      <c r="AM6" s="1"/>
      <c r="AN6" s="1"/>
      <c r="AO6" s="1">
        <v>400883534.45999998</v>
      </c>
      <c r="AP6" s="1">
        <v>909504217</v>
      </c>
      <c r="AQ6" s="1">
        <v>905113787.34000003</v>
      </c>
      <c r="AR6" s="1">
        <v>892716223.72000003</v>
      </c>
      <c r="AS6" s="1">
        <f>643174487.85+250000000</f>
        <v>893174487.85000002</v>
      </c>
      <c r="AT6" s="1"/>
      <c r="AU6" s="1"/>
      <c r="AV6" s="1"/>
      <c r="AW6" s="1"/>
      <c r="AX6" s="1">
        <f>250000000+640650697.74</f>
        <v>890650697.74000001</v>
      </c>
      <c r="AY6" s="1">
        <f>641149644.93+250000000</f>
        <v>891149644.92999995</v>
      </c>
      <c r="AZ6" s="1">
        <v>641694788.57000005</v>
      </c>
      <c r="BA6" s="1"/>
      <c r="BB6" s="1"/>
      <c r="BC6" s="1"/>
      <c r="BD6" s="1"/>
      <c r="BE6" s="1">
        <v>642301779.38999999</v>
      </c>
      <c r="BF6" s="1">
        <v>642728889.90999997</v>
      </c>
      <c r="BG6" s="1">
        <v>643129741.69000006</v>
      </c>
      <c r="BH6" s="1"/>
      <c r="BI6" s="1"/>
      <c r="BJ6" s="1">
        <v>644324477.69000006</v>
      </c>
      <c r="BK6" s="1">
        <v>644725995.96000004</v>
      </c>
      <c r="BL6" s="1">
        <v>645123191.19000006</v>
      </c>
      <c r="BM6" s="1">
        <v>605493845.80999994</v>
      </c>
      <c r="BN6" s="1">
        <v>70044053.25</v>
      </c>
      <c r="BO6" s="1"/>
      <c r="BP6" s="1"/>
      <c r="BQ6" s="1">
        <v>70179291.180000007</v>
      </c>
      <c r="BR6" s="1">
        <v>160279793.66999999</v>
      </c>
      <c r="BS6" s="1">
        <v>589650149.82000005</v>
      </c>
      <c r="BT6" s="1">
        <v>634042849.85000002</v>
      </c>
      <c r="BU6" s="1">
        <v>634430902.25</v>
      </c>
      <c r="BV6" s="1"/>
      <c r="BW6" s="1"/>
      <c r="BX6" s="1">
        <v>635590490.12</v>
      </c>
      <c r="BY6" s="1">
        <v>515902634.44999999</v>
      </c>
      <c r="BZ6" s="1">
        <v>516212236.44</v>
      </c>
      <c r="CA6" s="1">
        <v>516520778.16000003</v>
      </c>
      <c r="CB6" s="1">
        <v>516825769.27999997</v>
      </c>
      <c r="CC6" s="1"/>
      <c r="CD6" s="1"/>
      <c r="CE6" s="1"/>
      <c r="CF6" s="1"/>
      <c r="CG6" s="1">
        <v>506337173.37</v>
      </c>
      <c r="CH6" s="1">
        <v>506635125.32999998</v>
      </c>
      <c r="CI6" s="1">
        <v>506926620.69</v>
      </c>
      <c r="CJ6" s="1"/>
      <c r="CK6" s="1"/>
      <c r="CL6" s="1">
        <v>505784080.39999998</v>
      </c>
      <c r="CM6" s="1">
        <v>506072255.75999999</v>
      </c>
      <c r="CN6" s="1">
        <f>506000000+357957.61</f>
        <v>506357957.61000001</v>
      </c>
      <c r="CO6" s="1"/>
      <c r="CP6" s="1"/>
      <c r="CQ6" s="1"/>
      <c r="CR6" s="1"/>
      <c r="CS6" s="1">
        <v>358966.01</v>
      </c>
      <c r="CT6" s="1"/>
      <c r="CU6" s="1"/>
      <c r="CV6" s="1"/>
      <c r="CW6" s="1"/>
      <c r="CX6" s="1"/>
      <c r="CY6" s="1"/>
      <c r="CZ6" s="1">
        <v>1730919818.1099999</v>
      </c>
      <c r="DA6" s="1">
        <v>1846911622.05</v>
      </c>
      <c r="DB6" s="1">
        <v>1832869049.7</v>
      </c>
      <c r="DC6" s="1">
        <v>2133971226.6199999</v>
      </c>
      <c r="DD6" s="1">
        <v>2127081514.9100001</v>
      </c>
      <c r="DE6" s="1"/>
      <c r="DF6" s="1"/>
      <c r="DG6" s="1">
        <v>2130421333.97</v>
      </c>
      <c r="DH6" s="1">
        <v>2115527767.8599999</v>
      </c>
      <c r="DI6" s="1">
        <v>2115618850.9000001</v>
      </c>
      <c r="DJ6" s="1">
        <v>2116695210.5899999</v>
      </c>
      <c r="DK6" s="1">
        <v>2117777283.1300001</v>
      </c>
      <c r="DL6" s="1"/>
      <c r="DM6" s="1"/>
      <c r="DN6" s="1">
        <v>2128041022.5</v>
      </c>
      <c r="DO6" s="1">
        <v>2129132997.53</v>
      </c>
      <c r="DP6" s="1">
        <v>2130229783.95</v>
      </c>
      <c r="DQ6" s="1">
        <v>2105602024.6300001</v>
      </c>
      <c r="DR6" s="1"/>
      <c r="DS6" s="1"/>
      <c r="DT6" s="1"/>
      <c r="DU6" s="1">
        <v>2094909673.6800001</v>
      </c>
      <c r="DV6" s="1">
        <v>2095984069.0799999</v>
      </c>
      <c r="DW6" s="1">
        <v>1126553804.97</v>
      </c>
      <c r="DX6" s="1">
        <v>931011233</v>
      </c>
      <c r="DY6" s="1">
        <v>914463474.66999996</v>
      </c>
      <c r="DZ6" s="1"/>
      <c r="EA6" s="1"/>
      <c r="EB6" s="1">
        <v>915813160.46000004</v>
      </c>
      <c r="EC6" s="1">
        <v>1116360058.72</v>
      </c>
      <c r="ED6" s="1">
        <v>1101894252.97</v>
      </c>
      <c r="EE6" s="1">
        <v>1104422522.8599999</v>
      </c>
      <c r="EF6" s="1">
        <v>1090953578.0899999</v>
      </c>
      <c r="EG6" s="1"/>
      <c r="EH6" s="1"/>
      <c r="EI6" s="1">
        <v>1092544358.54</v>
      </c>
      <c r="EJ6" s="1"/>
      <c r="EK6" s="1"/>
      <c r="EL6" s="1">
        <f>65000000+90000000+810941575.91</f>
        <v>965941575.90999997</v>
      </c>
      <c r="EM6" s="1"/>
      <c r="EN6" s="1"/>
      <c r="EO6" s="1"/>
      <c r="EP6" s="1"/>
      <c r="EQ6" s="1">
        <v>662600093.54999995</v>
      </c>
      <c r="ER6" s="1">
        <v>662919028.97000003</v>
      </c>
      <c r="ES6" s="1">
        <v>658232858.17999995</v>
      </c>
      <c r="ET6" s="1">
        <v>658549058.00999999</v>
      </c>
      <c r="EU6" s="1"/>
      <c r="EV6" s="1"/>
      <c r="EW6" s="1">
        <v>649485877.87</v>
      </c>
      <c r="EX6" s="1">
        <v>649801284.98000002</v>
      </c>
      <c r="EY6" s="1">
        <v>650111512.24000001</v>
      </c>
      <c r="EZ6" s="1">
        <v>630409686.16999996</v>
      </c>
      <c r="FA6" s="1">
        <v>30424256.059999999</v>
      </c>
      <c r="FB6" s="1"/>
      <c r="FC6" s="1"/>
      <c r="FD6" s="1">
        <v>30467752.190000001</v>
      </c>
      <c r="FE6" s="1">
        <v>440675760.17000002</v>
      </c>
      <c r="FF6" s="1">
        <v>440881842.87</v>
      </c>
      <c r="FG6" s="1">
        <v>430081311.95999998</v>
      </c>
      <c r="FH6" s="1">
        <v>427280698</v>
      </c>
      <c r="FI6" s="1"/>
      <c r="FJ6" s="1"/>
      <c r="FK6" s="1"/>
      <c r="FL6" s="1">
        <f>16000000+398055452.3</f>
        <v>414055452.30000001</v>
      </c>
      <c r="FM6" s="1">
        <v>398244123.38999999</v>
      </c>
      <c r="FN6" s="1">
        <v>398432228.73000002</v>
      </c>
      <c r="FO6" s="1">
        <v>398618673</v>
      </c>
      <c r="FP6" s="1"/>
      <c r="FQ6" s="1"/>
      <c r="FR6" s="1">
        <v>399178852.30000001</v>
      </c>
      <c r="FS6" s="1">
        <v>399366353.62</v>
      </c>
      <c r="FT6" s="1">
        <v>399553540.16000003</v>
      </c>
      <c r="FU6" s="1">
        <v>391738627.45999998</v>
      </c>
      <c r="FV6" s="1">
        <v>391929271.39999998</v>
      </c>
      <c r="FW6" s="1"/>
      <c r="FX6" s="1"/>
      <c r="FY6" s="1">
        <v>392534424.41000003</v>
      </c>
      <c r="FZ6" s="1">
        <v>392734362.12</v>
      </c>
      <c r="GA6" s="1">
        <v>2735645.33</v>
      </c>
      <c r="GB6" s="1">
        <v>2736939.91</v>
      </c>
      <c r="GC6" s="1">
        <v>2738216.67</v>
      </c>
      <c r="GD6" s="1"/>
      <c r="GE6" s="1"/>
      <c r="GF6" s="1">
        <v>514450151.29000002</v>
      </c>
      <c r="GG6" s="1">
        <v>450363.86</v>
      </c>
      <c r="GH6" s="1">
        <v>450578.18</v>
      </c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</row>
    <row r="7" spans="1:216" ht="18.75" x14ac:dyDescent="0.25">
      <c r="A7" s="9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945719.59</v>
      </c>
      <c r="P7" s="1">
        <v>945719.59</v>
      </c>
      <c r="Q7" s="1">
        <v>945719.59</v>
      </c>
      <c r="R7" s="1">
        <v>0</v>
      </c>
      <c r="S7" s="1">
        <v>0</v>
      </c>
      <c r="T7" s="1">
        <v>945719.59</v>
      </c>
      <c r="U7" s="1">
        <v>945719.59</v>
      </c>
      <c r="V7" s="1">
        <v>945719.59</v>
      </c>
      <c r="W7" s="1">
        <v>945719.59</v>
      </c>
      <c r="X7" s="1"/>
      <c r="Y7" s="1"/>
      <c r="Z7" s="1"/>
      <c r="AA7" s="1">
        <v>945719.59</v>
      </c>
      <c r="AB7" s="1">
        <v>945719.59</v>
      </c>
      <c r="AC7" s="1">
        <v>945719.59</v>
      </c>
      <c r="AD7" s="1">
        <v>945719.59</v>
      </c>
      <c r="AE7" s="1"/>
      <c r="AF7" s="1"/>
      <c r="AG7" s="1"/>
      <c r="AH7" s="1">
        <v>945719.59</v>
      </c>
      <c r="AI7" s="1">
        <v>-11784165.83</v>
      </c>
      <c r="AJ7" s="1">
        <v>2215834.17</v>
      </c>
      <c r="AK7" s="1">
        <v>2143195.11</v>
      </c>
      <c r="AL7" s="1"/>
      <c r="AM7" s="1"/>
      <c r="AN7" s="1"/>
      <c r="AO7" s="1">
        <v>2143195.11</v>
      </c>
      <c r="AP7" s="1">
        <v>460528.44</v>
      </c>
      <c r="AQ7" s="1">
        <v>460528.44</v>
      </c>
      <c r="AR7" s="1">
        <v>460528.44</v>
      </c>
      <c r="AS7" s="1">
        <v>460528.44</v>
      </c>
      <c r="AT7" s="1"/>
      <c r="AU7" s="1"/>
      <c r="AV7" s="1"/>
      <c r="AW7" s="1"/>
      <c r="AX7" s="1">
        <v>460528.44</v>
      </c>
      <c r="AY7" s="1">
        <v>460528.44</v>
      </c>
      <c r="AZ7" s="1">
        <v>460528.44</v>
      </c>
      <c r="BA7" s="1"/>
      <c r="BB7" s="1"/>
      <c r="BC7" s="1"/>
      <c r="BD7" s="1"/>
      <c r="BE7" s="1">
        <v>2460528.44</v>
      </c>
      <c r="BF7" s="1">
        <v>2460528.44</v>
      </c>
      <c r="BG7" s="1">
        <v>2460528.44</v>
      </c>
      <c r="BH7" s="1"/>
      <c r="BI7" s="1"/>
      <c r="BJ7" s="1">
        <v>2460528.44</v>
      </c>
      <c r="BK7" s="1">
        <v>-4521642.3600000003</v>
      </c>
      <c r="BL7" s="1">
        <v>2080910.98</v>
      </c>
      <c r="BM7" s="1">
        <v>1899900.85</v>
      </c>
      <c r="BN7" s="1">
        <v>2080910.98</v>
      </c>
      <c r="BO7" s="1"/>
      <c r="BP7" s="1"/>
      <c r="BQ7" s="1">
        <v>2080910.98</v>
      </c>
      <c r="BR7" s="1">
        <v>2080910.98</v>
      </c>
      <c r="BS7" s="1">
        <v>2080910.98</v>
      </c>
      <c r="BT7" s="1">
        <v>2080910.98</v>
      </c>
      <c r="BU7" s="1">
        <v>4269410.9800000004</v>
      </c>
      <c r="BV7" s="1"/>
      <c r="BW7" s="1"/>
      <c r="BX7" s="1">
        <v>4240541.9800000004</v>
      </c>
      <c r="BY7" s="1">
        <v>4240541.9800000004</v>
      </c>
      <c r="BZ7" s="1">
        <v>4240541.9800000004</v>
      </c>
      <c r="CA7" s="1">
        <v>4240541.9800000004</v>
      </c>
      <c r="CB7" s="1">
        <v>4240541.9800000004</v>
      </c>
      <c r="CC7" s="1"/>
      <c r="CD7" s="1"/>
      <c r="CE7" s="1"/>
      <c r="CF7" s="1"/>
      <c r="CG7" s="1">
        <v>4240541.9800000004</v>
      </c>
      <c r="CH7" s="1">
        <v>6502645.7800000003</v>
      </c>
      <c r="CI7" s="1">
        <v>6474218.4000000004</v>
      </c>
      <c r="CJ7" s="1"/>
      <c r="CK7" s="1"/>
      <c r="CL7" s="1">
        <v>3456218.4</v>
      </c>
      <c r="CM7" s="1">
        <v>3456218.4</v>
      </c>
      <c r="CN7" s="1">
        <v>5985286.1399999997</v>
      </c>
      <c r="CO7" s="1"/>
      <c r="CP7" s="1"/>
      <c r="CQ7" s="1"/>
      <c r="CR7" s="1"/>
      <c r="CS7" s="1">
        <v>-5193239.91</v>
      </c>
      <c r="CT7" s="1"/>
      <c r="CU7" s="1"/>
      <c r="CV7" s="1"/>
      <c r="CW7" s="1"/>
      <c r="CX7" s="1"/>
      <c r="CY7" s="1"/>
      <c r="CZ7" s="1">
        <v>6241391.5999999996</v>
      </c>
      <c r="DA7" s="1">
        <v>6397450.6699999999</v>
      </c>
      <c r="DB7" s="1">
        <v>6397450.6699999999</v>
      </c>
      <c r="DC7" s="1">
        <v>1598361.87</v>
      </c>
      <c r="DD7" s="1">
        <v>1598361.87</v>
      </c>
      <c r="DE7" s="1"/>
      <c r="DF7" s="1"/>
      <c r="DG7" s="1">
        <v>1598361.87</v>
      </c>
      <c r="DH7" s="1">
        <v>761701.85</v>
      </c>
      <c r="DI7" s="1">
        <v>4705401.8499999996</v>
      </c>
      <c r="DJ7" s="1">
        <v>4705401.8499999996</v>
      </c>
      <c r="DK7" s="1">
        <v>4705401.8499999996</v>
      </c>
      <c r="DL7" s="1"/>
      <c r="DM7" s="1"/>
      <c r="DN7" s="1">
        <v>1296743.18</v>
      </c>
      <c r="DO7" s="1">
        <v>1296743.18</v>
      </c>
      <c r="DP7" s="1">
        <v>8155903.1799999997</v>
      </c>
      <c r="DQ7" s="1">
        <v>5473236.5199999996</v>
      </c>
      <c r="DR7" s="1"/>
      <c r="DS7" s="1"/>
      <c r="DT7" s="1"/>
      <c r="DU7" s="1">
        <v>5473236.5199999996</v>
      </c>
      <c r="DV7" s="1">
        <v>-6507101.1600000001</v>
      </c>
      <c r="DW7" s="1">
        <v>210303.78</v>
      </c>
      <c r="DX7" s="1">
        <v>210303.78</v>
      </c>
      <c r="DY7" s="1">
        <v>7466536.5</v>
      </c>
      <c r="DZ7" s="1"/>
      <c r="EA7" s="1"/>
      <c r="EB7" s="1">
        <v>7466536.5</v>
      </c>
      <c r="EC7" s="1">
        <v>7466536.5</v>
      </c>
      <c r="ED7" s="1">
        <v>4316076.4800000004</v>
      </c>
      <c r="EE7" s="1">
        <v>4316076.4800000004</v>
      </c>
      <c r="EF7" s="1">
        <v>2528560.48</v>
      </c>
      <c r="EG7" s="1"/>
      <c r="EH7" s="1"/>
      <c r="EI7" s="1">
        <v>2499835.38</v>
      </c>
      <c r="EJ7" s="1"/>
      <c r="EK7" s="1"/>
      <c r="EL7" s="1">
        <v>1752602.22</v>
      </c>
      <c r="EM7" s="1"/>
      <c r="EN7" s="1"/>
      <c r="EO7" s="1"/>
      <c r="EP7" s="1"/>
      <c r="EQ7" s="1">
        <v>1752602.22</v>
      </c>
      <c r="ER7" s="1">
        <v>1752602.22</v>
      </c>
      <c r="ES7" s="1">
        <v>1752602.22</v>
      </c>
      <c r="ET7" s="1">
        <v>1155038.22</v>
      </c>
      <c r="EU7" s="1"/>
      <c r="EV7" s="1"/>
      <c r="EW7" s="1">
        <v>2972371.56</v>
      </c>
      <c r="EX7" s="1">
        <v>-7611698.7199999997</v>
      </c>
      <c r="EY7" s="1">
        <v>-7611698.7199999997</v>
      </c>
      <c r="EZ7" s="1">
        <v>8616024.5700000003</v>
      </c>
      <c r="FA7" s="1">
        <v>5598024.5700000003</v>
      </c>
      <c r="FB7" s="1"/>
      <c r="FC7" s="1"/>
      <c r="FD7" s="1">
        <v>5598024.5700000003</v>
      </c>
      <c r="FE7" s="1">
        <v>2936433.77</v>
      </c>
      <c r="FF7" s="1">
        <v>2936433.77</v>
      </c>
      <c r="FG7" s="1">
        <v>2936433.77</v>
      </c>
      <c r="FH7" s="1">
        <v>7253767.7699999996</v>
      </c>
      <c r="FI7" s="1"/>
      <c r="FJ7" s="1"/>
      <c r="FK7" s="1"/>
      <c r="FL7" s="1">
        <v>5912115.8700000001</v>
      </c>
      <c r="FM7" s="1">
        <v>5488882.3300000001</v>
      </c>
      <c r="FN7" s="1">
        <v>108794.33</v>
      </c>
      <c r="FO7" s="1">
        <v>108794.33</v>
      </c>
      <c r="FP7" s="1"/>
      <c r="FQ7" s="1"/>
      <c r="FR7" s="1">
        <v>1544818.94</v>
      </c>
      <c r="FS7" s="1">
        <v>4610208.9400000004</v>
      </c>
      <c r="FT7" s="1">
        <v>4610208.9400000004</v>
      </c>
      <c r="FU7" s="1">
        <v>4610208.9400000004</v>
      </c>
      <c r="FV7" s="1">
        <v>4610208.9400000004</v>
      </c>
      <c r="FW7" s="1"/>
      <c r="FX7" s="1"/>
      <c r="FY7" s="1">
        <v>4610208.9400000004</v>
      </c>
      <c r="FZ7" s="1">
        <v>4050208.94</v>
      </c>
      <c r="GA7" s="1">
        <v>13046848.939999999</v>
      </c>
      <c r="GB7" s="1">
        <v>5158055.7</v>
      </c>
      <c r="GC7" s="1">
        <v>8176055.7000000002</v>
      </c>
      <c r="GD7" s="1"/>
      <c r="GE7" s="1"/>
      <c r="GF7" s="1">
        <v>5888689.2199999997</v>
      </c>
      <c r="GG7" s="1">
        <v>-16421177.75</v>
      </c>
      <c r="GH7" s="1">
        <v>18237172.25</v>
      </c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</row>
    <row r="8" spans="1:216" ht="18.75" x14ac:dyDescent="0.25">
      <c r="A8" s="9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/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/>
      <c r="AF8" s="1"/>
      <c r="AG8" s="1"/>
      <c r="AH8" s="1">
        <v>0</v>
      </c>
      <c r="AI8" s="1">
        <v>0</v>
      </c>
      <c r="AJ8" s="1">
        <v>0</v>
      </c>
      <c r="AK8" s="1">
        <v>0</v>
      </c>
      <c r="AL8" s="1"/>
      <c r="AM8" s="1"/>
      <c r="AN8" s="1"/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/>
      <c r="AU8" s="1"/>
      <c r="AV8" s="1"/>
      <c r="AW8" s="1"/>
      <c r="AX8" s="1">
        <v>0</v>
      </c>
      <c r="AY8" s="1">
        <v>0</v>
      </c>
      <c r="AZ8" s="1">
        <v>250000000</v>
      </c>
      <c r="BA8" s="1"/>
      <c r="BB8" s="1"/>
      <c r="BC8" s="1"/>
      <c r="BD8" s="1"/>
      <c r="BE8" s="1">
        <v>250000000</v>
      </c>
      <c r="BF8" s="1">
        <v>250000000</v>
      </c>
      <c r="BG8" s="1">
        <v>250000000</v>
      </c>
      <c r="BH8" s="1"/>
      <c r="BI8" s="1"/>
      <c r="BJ8" s="1">
        <v>250000000</v>
      </c>
      <c r="BK8" s="1">
        <v>250000000</v>
      </c>
      <c r="BL8" s="1">
        <v>250000000</v>
      </c>
      <c r="BM8" s="1">
        <v>250000000</v>
      </c>
      <c r="BN8" s="1">
        <v>250000000</v>
      </c>
      <c r="BO8" s="1"/>
      <c r="BP8" s="1"/>
      <c r="BQ8" s="1">
        <v>250000000</v>
      </c>
      <c r="BR8" s="1">
        <v>250000000</v>
      </c>
      <c r="BS8" s="1">
        <v>250000000</v>
      </c>
      <c r="BT8" s="1">
        <v>250000000</v>
      </c>
      <c r="BU8" s="1">
        <v>257015890.41</v>
      </c>
      <c r="BV8" s="1"/>
      <c r="BW8" s="1"/>
      <c r="BX8" s="1">
        <v>0</v>
      </c>
      <c r="BY8" s="1">
        <v>300000000</v>
      </c>
      <c r="BZ8" s="1">
        <v>300000000</v>
      </c>
      <c r="CA8" s="1">
        <v>300000000</v>
      </c>
      <c r="CB8" s="1">
        <v>300000000</v>
      </c>
      <c r="CC8" s="1"/>
      <c r="CD8" s="1"/>
      <c r="CE8" s="1"/>
      <c r="CF8" s="1"/>
      <c r="CG8" s="1">
        <v>300000000</v>
      </c>
      <c r="CH8" s="1">
        <v>300000000</v>
      </c>
      <c r="CI8" s="1">
        <v>300000000</v>
      </c>
      <c r="CJ8" s="1"/>
      <c r="CK8" s="1"/>
      <c r="CL8" s="1">
        <v>300000000</v>
      </c>
      <c r="CM8" s="1">
        <v>300000000</v>
      </c>
      <c r="CN8" s="1">
        <v>300000000</v>
      </c>
      <c r="CO8" s="1"/>
      <c r="CP8" s="1"/>
      <c r="CQ8" s="1"/>
      <c r="CR8" s="1"/>
      <c r="CS8" s="1">
        <v>300000000</v>
      </c>
      <c r="CT8" s="1">
        <v>300000000</v>
      </c>
      <c r="CU8" s="1"/>
      <c r="CV8" s="1"/>
      <c r="CW8" s="1"/>
      <c r="CX8" s="1"/>
      <c r="CY8" s="1"/>
      <c r="CZ8" s="1">
        <v>300000000</v>
      </c>
      <c r="DA8" s="1">
        <v>300000000</v>
      </c>
      <c r="DB8" s="1">
        <v>0</v>
      </c>
      <c r="DC8" s="1">
        <v>0</v>
      </c>
      <c r="DD8" s="1">
        <v>0</v>
      </c>
      <c r="DE8" s="1"/>
      <c r="DF8" s="1"/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/>
      <c r="DM8" s="1"/>
      <c r="DN8" s="1">
        <v>0</v>
      </c>
      <c r="DO8" s="1">
        <v>0</v>
      </c>
      <c r="DP8" s="1">
        <v>0</v>
      </c>
      <c r="DQ8" s="1">
        <v>0</v>
      </c>
      <c r="DR8" s="1"/>
      <c r="DS8" s="1"/>
      <c r="DT8" s="1"/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/>
      <c r="EA8" s="1"/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/>
      <c r="EH8" s="1"/>
      <c r="EI8" s="1">
        <v>0</v>
      </c>
      <c r="EJ8" s="1"/>
      <c r="EK8" s="1"/>
      <c r="EL8" s="1">
        <v>0</v>
      </c>
      <c r="EM8" s="1"/>
      <c r="EN8" s="1"/>
      <c r="EO8" s="1"/>
      <c r="EP8" s="1"/>
      <c r="EQ8" s="1">
        <v>0</v>
      </c>
      <c r="ER8" s="1">
        <v>0</v>
      </c>
      <c r="ES8" s="1">
        <v>0</v>
      </c>
      <c r="ET8" s="1">
        <v>0</v>
      </c>
      <c r="EU8" s="1"/>
      <c r="EV8" s="1"/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/>
      <c r="FC8" s="1"/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/>
      <c r="FJ8" s="1"/>
      <c r="FK8" s="1"/>
      <c r="FL8" s="1">
        <v>0</v>
      </c>
      <c r="FM8" s="1">
        <v>0</v>
      </c>
      <c r="FN8" s="1">
        <v>0</v>
      </c>
      <c r="FO8" s="1">
        <v>0</v>
      </c>
      <c r="FP8" s="1"/>
      <c r="FQ8" s="1"/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/>
      <c r="FX8" s="1"/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/>
      <c r="GE8" s="1"/>
      <c r="GF8" s="1">
        <v>0</v>
      </c>
      <c r="GG8" s="1">
        <v>0</v>
      </c>
      <c r="GH8" s="1">
        <v>0</v>
      </c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</row>
    <row r="9" spans="1:216" ht="18.75" x14ac:dyDescent="0.25">
      <c r="A9" s="9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250000000</v>
      </c>
      <c r="AT9" s="1"/>
      <c r="AU9" s="1"/>
      <c r="AV9" s="1"/>
      <c r="AW9" s="1"/>
      <c r="AX9" s="1">
        <v>250000000</v>
      </c>
      <c r="AY9" s="1">
        <v>250000000</v>
      </c>
      <c r="AZ9" s="1">
        <v>250000000</v>
      </c>
      <c r="BA9" s="1"/>
      <c r="BB9" s="1"/>
      <c r="BC9" s="1"/>
      <c r="BD9" s="1"/>
      <c r="BE9" s="1">
        <v>250000000</v>
      </c>
      <c r="BF9" s="1">
        <v>250000000</v>
      </c>
      <c r="BG9" s="1">
        <v>250000000</v>
      </c>
      <c r="BH9" s="1"/>
      <c r="BI9" s="1"/>
      <c r="BJ9" s="1">
        <v>250000000</v>
      </c>
      <c r="BK9" s="1">
        <v>250000000</v>
      </c>
      <c r="BL9" s="1">
        <v>250000000</v>
      </c>
      <c r="BM9" s="1">
        <v>250000000</v>
      </c>
      <c r="BN9" s="1">
        <v>250000000</v>
      </c>
      <c r="BO9" s="1"/>
      <c r="BP9" s="1"/>
      <c r="BQ9" s="1">
        <v>250000000</v>
      </c>
      <c r="BR9" s="1">
        <v>250000000</v>
      </c>
      <c r="BS9" s="1">
        <v>250000000</v>
      </c>
      <c r="BT9" s="1">
        <v>250000000</v>
      </c>
      <c r="BU9" s="1">
        <v>250000000</v>
      </c>
      <c r="BV9" s="1"/>
      <c r="BW9" s="1"/>
      <c r="BX9" s="1">
        <v>250000000</v>
      </c>
      <c r="BY9" s="1">
        <v>256865163</v>
      </c>
      <c r="BZ9" s="1">
        <v>256865163</v>
      </c>
      <c r="CA9" s="1">
        <v>256865163</v>
      </c>
      <c r="CB9" s="1">
        <v>256865163</v>
      </c>
      <c r="CC9" s="1"/>
      <c r="CD9" s="1"/>
      <c r="CE9" s="1"/>
      <c r="CF9" s="1"/>
      <c r="CG9" s="1">
        <v>256865163</v>
      </c>
      <c r="CH9" s="1">
        <v>256865163</v>
      </c>
      <c r="CI9" s="1">
        <v>256865163</v>
      </c>
      <c r="CJ9" s="1"/>
      <c r="CK9" s="1"/>
      <c r="CL9" s="1">
        <v>256865163</v>
      </c>
      <c r="CM9" s="1">
        <v>256865163</v>
      </c>
      <c r="CN9" s="1">
        <v>256865163</v>
      </c>
      <c r="CO9" s="1"/>
      <c r="CP9" s="1"/>
      <c r="CQ9" s="1"/>
      <c r="CR9" s="1"/>
      <c r="CS9" s="1">
        <v>256865163</v>
      </c>
      <c r="CT9" s="1">
        <v>256865163</v>
      </c>
      <c r="CU9" s="1"/>
      <c r="CV9" s="1"/>
      <c r="CW9" s="1"/>
      <c r="CX9" s="1"/>
      <c r="CY9" s="1"/>
      <c r="CZ9" s="1">
        <v>256865163</v>
      </c>
      <c r="DA9" s="1">
        <v>256865163</v>
      </c>
      <c r="DB9" s="1">
        <v>256865163</v>
      </c>
      <c r="DC9" s="1">
        <v>256865163</v>
      </c>
      <c r="DD9" s="1">
        <v>256865163</v>
      </c>
      <c r="DE9" s="1"/>
      <c r="DF9" s="1"/>
      <c r="DG9" s="1">
        <v>262076152.27000001</v>
      </c>
      <c r="DH9" s="1">
        <v>262076152.27000001</v>
      </c>
      <c r="DI9" s="1">
        <v>262076152.27000001</v>
      </c>
      <c r="DJ9" s="1">
        <v>262076152.27000001</v>
      </c>
      <c r="DK9" s="1">
        <v>262076152.27000001</v>
      </c>
      <c r="DL9" s="1"/>
      <c r="DM9" s="1"/>
      <c r="DN9" s="1">
        <v>262076152.27000001</v>
      </c>
      <c r="DO9" s="1">
        <v>262076152.27000001</v>
      </c>
      <c r="DP9" s="1">
        <v>262076152.27000001</v>
      </c>
      <c r="DQ9" s="1">
        <v>262076152.27000001</v>
      </c>
      <c r="DR9" s="1"/>
      <c r="DS9" s="1"/>
      <c r="DT9" s="1"/>
      <c r="DU9" s="1">
        <v>262076152.27000001</v>
      </c>
      <c r="DV9" s="1">
        <v>262076152.27000001</v>
      </c>
      <c r="DW9" s="1">
        <v>262076152.27000001</v>
      </c>
      <c r="DX9" s="1">
        <v>262076152.27000001</v>
      </c>
      <c r="DY9" s="1">
        <v>262076152.27000001</v>
      </c>
      <c r="DZ9" s="1"/>
      <c r="EA9" s="1"/>
      <c r="EB9" s="1">
        <v>262076152.27000001</v>
      </c>
      <c r="EC9" s="1">
        <v>1212076152.27</v>
      </c>
      <c r="ED9" s="1">
        <v>1212076152.27</v>
      </c>
      <c r="EE9" s="1">
        <v>1212076152.27</v>
      </c>
      <c r="EF9" s="1">
        <f>+EE9</f>
        <v>1212076152.27</v>
      </c>
      <c r="EG9" s="1"/>
      <c r="EH9" s="1"/>
      <c r="EI9" s="1">
        <v>1212076152.27</v>
      </c>
      <c r="EJ9" s="1"/>
      <c r="EK9" s="1"/>
      <c r="EL9" s="1">
        <v>1270256612</v>
      </c>
      <c r="EM9" s="1"/>
      <c r="EN9" s="1"/>
      <c r="EO9" s="1"/>
      <c r="EP9" s="1"/>
      <c r="EQ9" s="1">
        <v>1273250821</v>
      </c>
      <c r="ER9" s="1">
        <v>1273950557</v>
      </c>
      <c r="ES9" s="1">
        <v>1275717840</v>
      </c>
      <c r="ET9" s="1">
        <v>1278355307</v>
      </c>
      <c r="EU9" s="1"/>
      <c r="EV9" s="1"/>
      <c r="EW9" s="1">
        <v>1278498843</v>
      </c>
      <c r="EX9" s="1">
        <v>1279171666</v>
      </c>
      <c r="EY9" s="1">
        <f>1178825238+100530048</f>
        <v>1279355286</v>
      </c>
      <c r="EZ9" s="1">
        <f>1179073203+100530048</f>
        <v>1279603251</v>
      </c>
      <c r="FA9" s="1">
        <f>100624270+1183610961</f>
        <v>1284235231</v>
      </c>
      <c r="FB9" s="1"/>
      <c r="FC9" s="1"/>
      <c r="FD9" s="1">
        <f>1182544712+100624270</f>
        <v>1283168982</v>
      </c>
      <c r="FE9" s="1">
        <f>1183619226+100761579</f>
        <v>1284380805</v>
      </c>
      <c r="FF9" s="1">
        <f>1184305263+100808251</f>
        <v>1285113514</v>
      </c>
      <c r="FG9" s="1">
        <f>1185958362+100901881</f>
        <v>1286860243</v>
      </c>
      <c r="FH9" s="1">
        <f>1185892238+100901881</f>
        <v>1286794119</v>
      </c>
      <c r="FI9" s="1"/>
      <c r="FJ9" s="1"/>
      <c r="FK9" s="1"/>
      <c r="FL9" s="1">
        <f>1188165250+100948121</f>
        <v>1289113371</v>
      </c>
      <c r="FM9" s="1">
        <f>1188247905+101131029</f>
        <v>1289378934</v>
      </c>
      <c r="FN9" s="1">
        <f>1188785162+101177633</f>
        <v>1289962795</v>
      </c>
      <c r="FO9" s="1">
        <f>1189570384+101223628</f>
        <v>1290794012</v>
      </c>
      <c r="FP9" s="1"/>
      <c r="FQ9" s="1"/>
      <c r="FR9" s="1">
        <f>1191884724+101269936</f>
        <v>1293154660</v>
      </c>
      <c r="FS9" s="1">
        <f>1193298124+101458548</f>
        <v>1294756672</v>
      </c>
      <c r="FT9" s="1">
        <f>1193413841+101458548</f>
        <v>1294872389</v>
      </c>
      <c r="FU9" s="1">
        <f>1194116408+101506336</f>
        <v>1295622744</v>
      </c>
      <c r="FV9" s="1">
        <f>1194529683+101554249</f>
        <v>1296083932</v>
      </c>
      <c r="FW9" s="1"/>
      <c r="FX9" s="1"/>
      <c r="FY9" s="1">
        <f>1196802695+101601893</f>
        <v>1298404588</v>
      </c>
      <c r="FZ9" s="1">
        <f>1196844022+101747603</f>
        <v>1298591625</v>
      </c>
      <c r="GA9" s="1">
        <f>101794790+1196201266</f>
        <v>1297996056</v>
      </c>
      <c r="GB9" s="1">
        <f>101838690+1197338016</f>
        <v>1299176706</v>
      </c>
      <c r="GC9" s="1">
        <f>101883197+1196991503</f>
        <v>1298874700</v>
      </c>
      <c r="GD9" s="1"/>
      <c r="GE9" s="1"/>
      <c r="GF9" s="1">
        <f>101928263+1200407239</f>
        <v>1302335502</v>
      </c>
      <c r="GG9" s="1">
        <f>102061685+1200975613</f>
        <v>1303037298</v>
      </c>
      <c r="GH9" s="1">
        <f>102105584+1201043818</f>
        <v>1303149402</v>
      </c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</row>
    <row r="10" spans="1:216" ht="18.75" x14ac:dyDescent="0.25">
      <c r="A10" s="9" t="s">
        <v>683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43307345.840000004</v>
      </c>
      <c r="EM10" s="1"/>
      <c r="EN10" s="1"/>
      <c r="EO10" s="1"/>
      <c r="EP10" s="1"/>
      <c r="EQ10" s="1">
        <v>43307345.840000004</v>
      </c>
      <c r="ER10" s="1">
        <v>43307345.840000004</v>
      </c>
      <c r="ES10" s="1">
        <v>43307345.840000004</v>
      </c>
      <c r="ET10" s="1">
        <v>16535052.77</v>
      </c>
      <c r="EU10" s="1"/>
      <c r="EV10" s="1"/>
      <c r="EW10" s="1">
        <v>16535052.77</v>
      </c>
      <c r="EX10" s="1">
        <v>52935289.219999999</v>
      </c>
      <c r="EY10" s="1">
        <v>51289849.060000002</v>
      </c>
      <c r="EZ10" s="1">
        <v>51289849.060000002</v>
      </c>
      <c r="FA10" s="1">
        <v>16624602.51</v>
      </c>
      <c r="FB10" s="1"/>
      <c r="FC10" s="1"/>
      <c r="FD10" s="1">
        <v>16624602.51</v>
      </c>
      <c r="FE10" s="1">
        <v>16624602.51</v>
      </c>
      <c r="FF10" s="1">
        <v>16624602.51</v>
      </c>
      <c r="FG10" s="1">
        <v>16624602.51</v>
      </c>
      <c r="FH10" s="1">
        <v>5141590.97</v>
      </c>
      <c r="FI10" s="1"/>
      <c r="FJ10" s="1"/>
      <c r="FK10" s="1"/>
      <c r="FL10" s="1">
        <v>73379730.489999995</v>
      </c>
      <c r="FM10" s="1">
        <v>67989628.390000001</v>
      </c>
      <c r="FN10" s="1">
        <v>67966904.159999996</v>
      </c>
      <c r="FO10" s="1">
        <v>64606458.280000001</v>
      </c>
      <c r="FP10" s="1"/>
      <c r="FQ10" s="1"/>
      <c r="FR10" s="1">
        <v>82088773.620000005</v>
      </c>
      <c r="FS10" s="1">
        <v>82088773.620000005</v>
      </c>
      <c r="FT10" s="1">
        <v>81113445.069999993</v>
      </c>
      <c r="FU10" s="1">
        <v>81095337.370000005</v>
      </c>
      <c r="FV10" s="1">
        <v>85572337.819999993</v>
      </c>
      <c r="FW10" s="1"/>
      <c r="FX10" s="1"/>
      <c r="FY10" s="1">
        <v>85572337.819999993</v>
      </c>
      <c r="FZ10" s="1">
        <v>85572337.819999993</v>
      </c>
      <c r="GA10" s="1">
        <v>67572337.819999993</v>
      </c>
      <c r="GB10" s="1">
        <v>67462029.920000002</v>
      </c>
      <c r="GC10" s="1">
        <v>102422889.73</v>
      </c>
      <c r="GD10" s="1"/>
      <c r="GE10" s="1"/>
      <c r="GF10" s="1">
        <v>81825495.950000003</v>
      </c>
      <c r="GG10" s="1">
        <v>39825495.950000003</v>
      </c>
      <c r="GH10" s="1">
        <v>103733856.65000001</v>
      </c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</row>
    <row r="11" spans="1:216" ht="18.75" x14ac:dyDescent="0.25">
      <c r="A11" s="9" t="s">
        <v>777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>
        <v>0</v>
      </c>
      <c r="FV11" s="1">
        <v>0</v>
      </c>
      <c r="FW11" s="1"/>
      <c r="FX11" s="1"/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/>
      <c r="GE11" s="1"/>
      <c r="GF11" s="1">
        <v>0</v>
      </c>
      <c r="GG11" s="1">
        <v>0</v>
      </c>
      <c r="GH11" s="1">
        <v>0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</row>
    <row r="12" spans="1:216" ht="18.75" x14ac:dyDescent="0.25">
      <c r="A12" s="9" t="s">
        <v>684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>
        <v>0</v>
      </c>
      <c r="EX12" s="1">
        <v>-23730.31</v>
      </c>
      <c r="EY12" s="1">
        <v>-23730.31</v>
      </c>
      <c r="EZ12" s="1">
        <v>-23730.31</v>
      </c>
      <c r="FA12" s="1">
        <f>4772736.25+20465.37</f>
        <v>4793201.62</v>
      </c>
      <c r="FB12" s="1"/>
      <c r="FC12" s="1"/>
      <c r="FD12" s="1">
        <v>5030406.5599999996</v>
      </c>
      <c r="FE12" s="1">
        <v>5026644.9000000004</v>
      </c>
      <c r="FF12" s="1">
        <v>5026644.9000000004</v>
      </c>
      <c r="FG12" s="1">
        <v>5026597.58</v>
      </c>
      <c r="FH12" s="1">
        <v>5026597.58</v>
      </c>
      <c r="FI12" s="1"/>
      <c r="FJ12" s="1"/>
      <c r="FK12" s="1"/>
      <c r="FL12" s="1">
        <v>5026597.58</v>
      </c>
      <c r="FM12" s="1">
        <v>5026597.58</v>
      </c>
      <c r="FN12" s="1">
        <v>5026597.58</v>
      </c>
      <c r="FO12" s="1">
        <v>5026597.58</v>
      </c>
      <c r="FP12" s="1"/>
      <c r="FQ12" s="1"/>
      <c r="FR12" s="1">
        <v>5026597.58</v>
      </c>
      <c r="FS12" s="1">
        <v>5026597.58</v>
      </c>
      <c r="FT12" s="1">
        <v>5026597.58</v>
      </c>
      <c r="FU12" s="1">
        <v>4688314.26</v>
      </c>
      <c r="FV12" s="1">
        <v>4688314.26</v>
      </c>
      <c r="FW12" s="1"/>
      <c r="FX12" s="1"/>
      <c r="FY12" s="1">
        <v>4688314.26</v>
      </c>
      <c r="FZ12" s="1">
        <v>4688314.26</v>
      </c>
      <c r="GA12" s="1">
        <v>5012235.3499999996</v>
      </c>
      <c r="GB12" s="1">
        <v>5011818.7</v>
      </c>
      <c r="GC12" s="1">
        <v>5011818.7</v>
      </c>
      <c r="GD12" s="1"/>
      <c r="GE12" s="1"/>
      <c r="GF12" s="1">
        <v>5011818.7</v>
      </c>
      <c r="GG12" s="1">
        <v>7562310.7000000002</v>
      </c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</row>
    <row r="13" spans="1:216" ht="18.75" x14ac:dyDescent="0.25">
      <c r="A13" s="9" t="s">
        <v>358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3034810.34</v>
      </c>
      <c r="EM13" s="1"/>
      <c r="EN13" s="1"/>
      <c r="EO13" s="1"/>
      <c r="EP13" s="1"/>
      <c r="EQ13" s="1">
        <v>3034810.34</v>
      </c>
      <c r="ER13" s="1">
        <v>3034810.34</v>
      </c>
      <c r="ES13" s="1">
        <v>3034810.34</v>
      </c>
      <c r="ET13" s="1">
        <v>3034810.34</v>
      </c>
      <c r="EU13" s="1"/>
      <c r="EV13" s="1"/>
      <c r="EW13" s="1">
        <v>3034810.34</v>
      </c>
      <c r="EX13" s="1">
        <v>4735612.74</v>
      </c>
      <c r="EY13" s="1">
        <v>4732162.74</v>
      </c>
      <c r="EZ13" s="1">
        <v>4732162.74</v>
      </c>
      <c r="FA13" s="1">
        <v>4732162.74</v>
      </c>
      <c r="FB13" s="1"/>
      <c r="FC13" s="1"/>
      <c r="FD13" s="1">
        <v>4732162.74</v>
      </c>
      <c r="FE13" s="1">
        <v>4732162.74</v>
      </c>
      <c r="FF13" s="1">
        <v>3175841.17</v>
      </c>
      <c r="FG13" s="1">
        <v>3175841.17</v>
      </c>
      <c r="FH13" s="1">
        <v>3175841.17</v>
      </c>
      <c r="FI13" s="1"/>
      <c r="FJ13" s="1"/>
      <c r="FK13" s="1"/>
      <c r="FL13" s="1">
        <v>3175841.17</v>
      </c>
      <c r="FM13" s="1">
        <v>3175841.17</v>
      </c>
      <c r="FN13" s="1">
        <v>3175841.17</v>
      </c>
      <c r="FO13" s="1">
        <v>3175841.17</v>
      </c>
      <c r="FP13" s="1"/>
      <c r="FQ13" s="1"/>
      <c r="FR13" s="1">
        <v>32684331.27</v>
      </c>
      <c r="FS13" s="1">
        <v>32454431.27</v>
      </c>
      <c r="FT13" s="1">
        <v>32454431.27</v>
      </c>
      <c r="FU13" s="1">
        <v>32454431.27</v>
      </c>
      <c r="FV13" s="1">
        <v>32454431.27</v>
      </c>
      <c r="FW13" s="1"/>
      <c r="FX13" s="1"/>
      <c r="FY13" s="1">
        <v>32454431.27</v>
      </c>
      <c r="FZ13" s="1">
        <v>32306080.460000001</v>
      </c>
      <c r="GA13" s="1">
        <v>15227891.039999999</v>
      </c>
      <c r="GB13" s="1">
        <v>15036411.99</v>
      </c>
      <c r="GC13" s="1">
        <v>41024862.93</v>
      </c>
      <c r="GD13" s="1"/>
      <c r="GE13" s="1"/>
      <c r="GF13" s="1">
        <v>20048336.27</v>
      </c>
      <c r="GG13" s="1">
        <v>20048336.27</v>
      </c>
      <c r="GH13" s="1">
        <v>20048336.27</v>
      </c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</row>
    <row r="14" spans="1:216" ht="18.75" x14ac:dyDescent="0.25">
      <c r="A14" s="9" t="s">
        <v>687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>
        <v>0</v>
      </c>
      <c r="EX14" s="1">
        <v>288951.96999999997</v>
      </c>
      <c r="EY14" s="1">
        <v>288951.96999999997</v>
      </c>
      <c r="EZ14" s="1">
        <v>288951.96999999997</v>
      </c>
      <c r="FA14" s="1">
        <v>288951.96999999997</v>
      </c>
      <c r="FB14" s="1"/>
      <c r="FC14" s="1"/>
      <c r="FD14" s="1">
        <v>288951.96999999997</v>
      </c>
      <c r="FE14" s="1">
        <v>288951.96999999997</v>
      </c>
      <c r="FF14" s="1">
        <v>288951.96999999997</v>
      </c>
      <c r="FG14" s="1">
        <v>288951.96999999997</v>
      </c>
      <c r="FH14" s="1">
        <v>288951.96999999997</v>
      </c>
      <c r="FI14" s="1"/>
      <c r="FJ14" s="1"/>
      <c r="FK14" s="1"/>
      <c r="FL14" s="1">
        <v>288951.96999999997</v>
      </c>
      <c r="FM14" s="1">
        <v>288951.96999999997</v>
      </c>
      <c r="FN14" s="1">
        <v>288951.96999999997</v>
      </c>
      <c r="FO14" s="1">
        <v>288951.96999999997</v>
      </c>
      <c r="FP14" s="1"/>
      <c r="FQ14" s="1"/>
      <c r="FR14" s="1">
        <v>6205984.3300000001</v>
      </c>
      <c r="FS14" s="1">
        <v>6205984.3300000001</v>
      </c>
      <c r="FT14" s="1">
        <v>6205984.3300000001</v>
      </c>
      <c r="FU14" s="1">
        <v>6205984.3300000001</v>
      </c>
      <c r="FV14" s="1">
        <v>6205984.3300000001</v>
      </c>
      <c r="FW14" s="1"/>
      <c r="FX14" s="1"/>
      <c r="FY14" s="1">
        <v>6205984.3300000001</v>
      </c>
      <c r="FZ14" s="1">
        <v>6205984.3300000001</v>
      </c>
      <c r="GA14" s="1">
        <v>6205984.3300000001</v>
      </c>
      <c r="GB14" s="1">
        <v>6205984.3300000001</v>
      </c>
      <c r="GC14" s="1">
        <v>6164484.8399999999</v>
      </c>
      <c r="GD14" s="1"/>
      <c r="GE14" s="1"/>
      <c r="GF14" s="1">
        <v>6164486.8399999999</v>
      </c>
      <c r="GG14" s="1">
        <v>5907956.8399999999</v>
      </c>
      <c r="GH14" s="1">
        <v>5907956.8399999999</v>
      </c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</row>
    <row r="15" spans="1:216" ht="15.75" x14ac:dyDescent="0.25">
      <c r="A15" s="10" t="s">
        <v>8</v>
      </c>
      <c r="B15" s="8">
        <f t="shared" ref="B15:AI15" si="6">SUM(B3:B8)</f>
        <v>0</v>
      </c>
      <c r="C15" s="8">
        <f t="shared" si="6"/>
        <v>0</v>
      </c>
      <c r="D15" s="8">
        <f t="shared" si="6"/>
        <v>0</v>
      </c>
      <c r="E15" s="8">
        <f t="shared" si="6"/>
        <v>0</v>
      </c>
      <c r="F15" s="8">
        <f t="shared" si="6"/>
        <v>0</v>
      </c>
      <c r="G15" s="8">
        <f t="shared" si="6"/>
        <v>0</v>
      </c>
      <c r="H15" s="8">
        <f t="shared" si="6"/>
        <v>0</v>
      </c>
      <c r="I15" s="8">
        <f t="shared" si="6"/>
        <v>0</v>
      </c>
      <c r="J15" s="8">
        <f t="shared" si="6"/>
        <v>0</v>
      </c>
      <c r="K15" s="8">
        <f t="shared" si="6"/>
        <v>0</v>
      </c>
      <c r="L15" s="8">
        <f t="shared" si="6"/>
        <v>0</v>
      </c>
      <c r="M15" s="8">
        <f t="shared" si="6"/>
        <v>0</v>
      </c>
      <c r="N15" s="8">
        <f t="shared" si="6"/>
        <v>0</v>
      </c>
      <c r="O15" s="8">
        <f t="shared" si="6"/>
        <v>1102278895.4399998</v>
      </c>
      <c r="P15" s="8">
        <f t="shared" si="6"/>
        <v>1151906309.26</v>
      </c>
      <c r="Q15" s="8">
        <f t="shared" si="6"/>
        <v>1124588574.3199999</v>
      </c>
      <c r="R15" s="8">
        <f t="shared" si="6"/>
        <v>0</v>
      </c>
      <c r="S15" s="8">
        <f t="shared" si="6"/>
        <v>0</v>
      </c>
      <c r="T15" s="8">
        <f t="shared" si="6"/>
        <v>1075136450.4999998</v>
      </c>
      <c r="U15" s="8">
        <f t="shared" si="6"/>
        <v>1075848120</v>
      </c>
      <c r="V15" s="8">
        <f t="shared" si="6"/>
        <v>913941696.75999999</v>
      </c>
      <c r="W15" s="8">
        <f t="shared" si="6"/>
        <v>910416490.22000003</v>
      </c>
      <c r="X15" s="8">
        <f t="shared" si="6"/>
        <v>0</v>
      </c>
      <c r="Y15" s="8">
        <f t="shared" si="6"/>
        <v>0</v>
      </c>
      <c r="Z15" s="8">
        <f t="shared" si="6"/>
        <v>0</v>
      </c>
      <c r="AA15" s="8">
        <f t="shared" si="6"/>
        <v>911003972.01000011</v>
      </c>
      <c r="AB15" s="8">
        <f t="shared" si="6"/>
        <v>919368615.63000011</v>
      </c>
      <c r="AC15" s="8">
        <f>SUM(AC3:AC8)</f>
        <v>907418626.86000001</v>
      </c>
      <c r="AD15" s="8">
        <f t="shared" si="6"/>
        <v>935863225.5</v>
      </c>
      <c r="AE15" s="8">
        <f t="shared" si="6"/>
        <v>0</v>
      </c>
      <c r="AF15" s="8">
        <f t="shared" si="6"/>
        <v>0</v>
      </c>
      <c r="AG15" s="8">
        <f t="shared" si="6"/>
        <v>0</v>
      </c>
      <c r="AH15" s="8">
        <f t="shared" si="6"/>
        <v>1024040189.98</v>
      </c>
      <c r="AI15" s="8">
        <f t="shared" si="6"/>
        <v>1031341987.5699998</v>
      </c>
      <c r="AJ15" s="8">
        <f>SUM(AJ3:AJ8)</f>
        <v>1036857360.12</v>
      </c>
      <c r="AK15" s="8">
        <f>SUM(AK3:AK8)</f>
        <v>28574037.890000001</v>
      </c>
      <c r="AL15" s="8">
        <f t="shared" ref="AL15:AW15" si="7">SUM(AL3:AL8)</f>
        <v>0</v>
      </c>
      <c r="AM15" s="8">
        <f t="shared" si="7"/>
        <v>0</v>
      </c>
      <c r="AN15" s="8">
        <f t="shared" si="7"/>
        <v>0</v>
      </c>
      <c r="AO15" s="8">
        <f t="shared" si="7"/>
        <v>961933126.37</v>
      </c>
      <c r="AP15" s="8">
        <f t="shared" si="7"/>
        <v>2085697793.4100001</v>
      </c>
      <c r="AQ15" s="8">
        <f t="shared" si="7"/>
        <v>2061240527.4500003</v>
      </c>
      <c r="AR15" s="8">
        <f t="shared" si="7"/>
        <v>1847008362.1200001</v>
      </c>
      <c r="AS15" s="8">
        <f>SUM(AS3:AS9)</f>
        <v>1904890933.6800001</v>
      </c>
      <c r="AT15" s="8">
        <f t="shared" si="7"/>
        <v>0</v>
      </c>
      <c r="AU15" s="8">
        <f t="shared" si="7"/>
        <v>0</v>
      </c>
      <c r="AV15" s="8">
        <f t="shared" si="7"/>
        <v>0</v>
      </c>
      <c r="AW15" s="8">
        <f t="shared" si="7"/>
        <v>0</v>
      </c>
      <c r="AX15" s="8">
        <f>SUM(AX3:AX9)</f>
        <v>1940486638.49</v>
      </c>
      <c r="AY15" s="8">
        <f>SUM(AY3:AY9)</f>
        <v>1881742112.47</v>
      </c>
      <c r="AZ15" s="8">
        <f t="shared" ref="AZ15:DK15" si="8">SUM(AZ3:AZ9)</f>
        <v>1905635306.4400001</v>
      </c>
      <c r="BA15" s="8">
        <f t="shared" si="8"/>
        <v>0</v>
      </c>
      <c r="BB15" s="8">
        <f t="shared" si="8"/>
        <v>0</v>
      </c>
      <c r="BC15" s="8">
        <f t="shared" si="8"/>
        <v>0</v>
      </c>
      <c r="BD15" s="8">
        <f t="shared" si="8"/>
        <v>0</v>
      </c>
      <c r="BE15" s="8">
        <f t="shared" si="8"/>
        <v>1615653348.73</v>
      </c>
      <c r="BF15" s="8">
        <f t="shared" si="8"/>
        <v>1607333230.04</v>
      </c>
      <c r="BG15" s="8">
        <f t="shared" si="8"/>
        <v>1620152765.3400002</v>
      </c>
      <c r="BH15" s="8">
        <f t="shared" si="8"/>
        <v>0</v>
      </c>
      <c r="BI15" s="8">
        <f t="shared" si="8"/>
        <v>0</v>
      </c>
      <c r="BJ15" s="8">
        <f t="shared" si="8"/>
        <v>1651902318.6100001</v>
      </c>
      <c r="BK15" s="8">
        <f t="shared" si="8"/>
        <v>2670225187.5699997</v>
      </c>
      <c r="BL15" s="8">
        <f t="shared" si="8"/>
        <v>2677965947.3899999</v>
      </c>
      <c r="BM15" s="8">
        <f t="shared" si="8"/>
        <v>2609126283.2200003</v>
      </c>
      <c r="BN15" s="8">
        <f t="shared" si="8"/>
        <v>1874119967.4400001</v>
      </c>
      <c r="BO15" s="8">
        <f t="shared" si="8"/>
        <v>0</v>
      </c>
      <c r="BP15" s="8">
        <f t="shared" si="8"/>
        <v>0</v>
      </c>
      <c r="BQ15" s="8">
        <f t="shared" si="8"/>
        <v>1992808017.9700003</v>
      </c>
      <c r="BR15" s="8">
        <f t="shared" si="8"/>
        <v>2441135991.9300003</v>
      </c>
      <c r="BS15" s="8">
        <f t="shared" si="8"/>
        <v>2431793320.1500001</v>
      </c>
      <c r="BT15" s="8">
        <f t="shared" si="8"/>
        <v>2229563566.1900001</v>
      </c>
      <c r="BU15" s="8">
        <f t="shared" si="8"/>
        <v>2274548122.1000004</v>
      </c>
      <c r="BV15" s="8">
        <f t="shared" si="8"/>
        <v>0</v>
      </c>
      <c r="BW15" s="8">
        <f t="shared" si="8"/>
        <v>0</v>
      </c>
      <c r="BX15" s="8">
        <f t="shared" si="8"/>
        <v>2275943905.4200001</v>
      </c>
      <c r="BY15" s="8">
        <f t="shared" si="8"/>
        <v>2137136693.78</v>
      </c>
      <c r="BZ15" s="8">
        <f t="shared" si="8"/>
        <v>2094506275.21</v>
      </c>
      <c r="CA15" s="8">
        <f t="shared" si="8"/>
        <v>2095210944.3799999</v>
      </c>
      <c r="CB15" s="8">
        <f t="shared" si="8"/>
        <v>2225388782.6900001</v>
      </c>
      <c r="CC15" s="8">
        <f t="shared" si="8"/>
        <v>0</v>
      </c>
      <c r="CD15" s="8">
        <f t="shared" si="8"/>
        <v>0</v>
      </c>
      <c r="CE15" s="8">
        <f t="shared" si="8"/>
        <v>0</v>
      </c>
      <c r="CF15" s="8">
        <f t="shared" si="8"/>
        <v>0</v>
      </c>
      <c r="CG15" s="8">
        <f t="shared" si="8"/>
        <v>2567389424.3000002</v>
      </c>
      <c r="CH15" s="8">
        <f t="shared" si="8"/>
        <v>2528905739.9499998</v>
      </c>
      <c r="CI15" s="8">
        <f t="shared" si="8"/>
        <v>2465913089.9499998</v>
      </c>
      <c r="CJ15" s="8">
        <f t="shared" si="8"/>
        <v>0</v>
      </c>
      <c r="CK15" s="8">
        <f t="shared" si="8"/>
        <v>0</v>
      </c>
      <c r="CL15" s="8">
        <f t="shared" si="8"/>
        <v>2371040754.8299999</v>
      </c>
      <c r="CM15" s="8">
        <f t="shared" si="8"/>
        <v>2421454406.1199999</v>
      </c>
      <c r="CN15" s="8">
        <f t="shared" si="8"/>
        <v>2382518626.1199999</v>
      </c>
      <c r="CO15" s="8">
        <f t="shared" si="8"/>
        <v>0</v>
      </c>
      <c r="CP15" s="8">
        <f t="shared" si="8"/>
        <v>0</v>
      </c>
      <c r="CQ15" s="8">
        <f t="shared" si="8"/>
        <v>0</v>
      </c>
      <c r="CR15" s="8">
        <f t="shared" si="8"/>
        <v>0</v>
      </c>
      <c r="CS15" s="8">
        <f t="shared" si="8"/>
        <v>1913508975.0099998</v>
      </c>
      <c r="CT15" s="8">
        <f t="shared" si="8"/>
        <v>1501139385.72</v>
      </c>
      <c r="CU15" s="8">
        <f t="shared" si="8"/>
        <v>0</v>
      </c>
      <c r="CV15" s="8">
        <f t="shared" si="8"/>
        <v>0</v>
      </c>
      <c r="CW15" s="8">
        <f t="shared" si="8"/>
        <v>0</v>
      </c>
      <c r="CX15" s="8">
        <f t="shared" si="8"/>
        <v>0</v>
      </c>
      <c r="CY15" s="8">
        <f t="shared" si="8"/>
        <v>0</v>
      </c>
      <c r="CZ15" s="8">
        <f t="shared" si="8"/>
        <v>2997830629.0899997</v>
      </c>
      <c r="DA15" s="8">
        <f t="shared" si="8"/>
        <v>2813576104.3299999</v>
      </c>
      <c r="DB15" s="8">
        <f t="shared" si="8"/>
        <v>2806601910.9899998</v>
      </c>
      <c r="DC15" s="8">
        <f t="shared" si="8"/>
        <v>2781354747.7599998</v>
      </c>
      <c r="DD15" s="8">
        <f t="shared" si="8"/>
        <v>2688460132.5999999</v>
      </c>
      <c r="DE15" s="8">
        <f t="shared" si="8"/>
        <v>0</v>
      </c>
      <c r="DF15" s="8">
        <f t="shared" si="8"/>
        <v>0</v>
      </c>
      <c r="DG15" s="8">
        <f t="shared" si="8"/>
        <v>2655429764.8399997</v>
      </c>
      <c r="DH15" s="8">
        <f t="shared" si="8"/>
        <v>2635595213.0899997</v>
      </c>
      <c r="DI15" s="8">
        <f t="shared" si="8"/>
        <v>2632977360.3899999</v>
      </c>
      <c r="DJ15" s="8">
        <f t="shared" si="8"/>
        <v>2902240412.27</v>
      </c>
      <c r="DK15" s="8">
        <f t="shared" si="8"/>
        <v>2904546504.1199999</v>
      </c>
      <c r="DL15" s="8">
        <f t="shared" ref="DL15:EK15" si="9">SUM(DL3:DL9)</f>
        <v>0</v>
      </c>
      <c r="DM15" s="8">
        <f t="shared" si="9"/>
        <v>0</v>
      </c>
      <c r="DN15" s="8">
        <f t="shared" si="9"/>
        <v>2764521942.6299996</v>
      </c>
      <c r="DO15" s="8">
        <f t="shared" si="9"/>
        <v>2759570296.0299997</v>
      </c>
      <c r="DP15" s="8">
        <f t="shared" si="9"/>
        <v>2756117327.1599998</v>
      </c>
      <c r="DQ15" s="8">
        <f t="shared" si="9"/>
        <v>2720734015.3099999</v>
      </c>
      <c r="DR15" s="8">
        <f t="shared" si="9"/>
        <v>0</v>
      </c>
      <c r="DS15" s="8">
        <f t="shared" si="9"/>
        <v>0</v>
      </c>
      <c r="DT15" s="8">
        <f t="shared" si="9"/>
        <v>0</v>
      </c>
      <c r="DU15" s="8">
        <f t="shared" si="9"/>
        <v>3704516193.9099998</v>
      </c>
      <c r="DV15" s="8">
        <f t="shared" si="9"/>
        <v>3697158822.5899997</v>
      </c>
      <c r="DW15" s="8">
        <f t="shared" si="9"/>
        <v>2772794850.4099998</v>
      </c>
      <c r="DX15" s="8">
        <f t="shared" si="9"/>
        <v>2567959300.1000004</v>
      </c>
      <c r="DY15" s="8">
        <f t="shared" si="9"/>
        <v>2503697530.6099997</v>
      </c>
      <c r="DZ15" s="8">
        <f t="shared" si="9"/>
        <v>0</v>
      </c>
      <c r="EA15" s="8">
        <f t="shared" si="9"/>
        <v>0</v>
      </c>
      <c r="EB15" s="8">
        <f t="shared" si="9"/>
        <v>2574442361.0999999</v>
      </c>
      <c r="EC15" s="8">
        <f t="shared" si="9"/>
        <v>2773024065.5599999</v>
      </c>
      <c r="ED15" s="8">
        <f t="shared" ref="ED15:EE15" si="10">SUM(ED3:ED9)</f>
        <v>2787834626.1599998</v>
      </c>
      <c r="EE15" s="8">
        <f t="shared" si="10"/>
        <v>2572310685.46</v>
      </c>
      <c r="EF15" s="8">
        <f t="shared" si="9"/>
        <v>2568060551.1300001</v>
      </c>
      <c r="EG15" s="8">
        <f t="shared" si="9"/>
        <v>0</v>
      </c>
      <c r="EH15" s="8">
        <f t="shared" si="9"/>
        <v>0</v>
      </c>
      <c r="EI15" s="8">
        <f t="shared" si="9"/>
        <v>2471859902.3500004</v>
      </c>
      <c r="EJ15" s="8">
        <f t="shared" si="9"/>
        <v>0</v>
      </c>
      <c r="EK15" s="8">
        <f t="shared" si="9"/>
        <v>0</v>
      </c>
      <c r="EL15" s="8">
        <f t="shared" ref="EL15:EP15" si="11">SUM(EL3:EL13)</f>
        <v>2296974665.0300002</v>
      </c>
      <c r="EM15" s="8">
        <f t="shared" si="11"/>
        <v>0</v>
      </c>
      <c r="EN15" s="8">
        <f t="shared" si="11"/>
        <v>0</v>
      </c>
      <c r="EO15" s="8">
        <f t="shared" si="11"/>
        <v>0</v>
      </c>
      <c r="EP15" s="8">
        <f t="shared" si="11"/>
        <v>0</v>
      </c>
      <c r="EQ15" s="8">
        <f>SUM(EQ3:EQ13)</f>
        <v>2355294106.2700005</v>
      </c>
      <c r="ER15" s="8">
        <f>SUM(ER3:ER13)</f>
        <v>2341897248.3200006</v>
      </c>
      <c r="ES15" s="8">
        <f>SUM(ES3:ES13)</f>
        <v>2337675336.2700005</v>
      </c>
      <c r="ET15" s="8">
        <f t="shared" ref="ET15:EV15" si="12">SUM(ET3:ET13)</f>
        <v>2307726629.5900002</v>
      </c>
      <c r="EU15" s="8">
        <f t="shared" si="12"/>
        <v>0</v>
      </c>
      <c r="EV15" s="8">
        <f t="shared" si="12"/>
        <v>0</v>
      </c>
      <c r="EW15" s="8">
        <f>SUM(EW3:EW14)</f>
        <v>2325934961.9900002</v>
      </c>
      <c r="EX15" s="8">
        <f t="shared" ref="EX15:FV15" si="13">SUM(EX3:EX14)</f>
        <v>2267737829.1199994</v>
      </c>
      <c r="EY15" s="8">
        <f t="shared" si="13"/>
        <v>2291322877.5499997</v>
      </c>
      <c r="EZ15" s="8">
        <f t="shared" si="13"/>
        <v>3283687644.5099998</v>
      </c>
      <c r="FA15" s="8">
        <f t="shared" si="13"/>
        <v>2317401537.9499998</v>
      </c>
      <c r="FB15" s="8">
        <f t="shared" si="13"/>
        <v>0</v>
      </c>
      <c r="FC15" s="8">
        <f t="shared" si="13"/>
        <v>0</v>
      </c>
      <c r="FD15" s="8">
        <f t="shared" si="13"/>
        <v>2727083649.0899997</v>
      </c>
      <c r="FE15" s="8">
        <f t="shared" si="13"/>
        <v>2731245286.8000002</v>
      </c>
      <c r="FF15" s="8">
        <f t="shared" si="13"/>
        <v>2766003061.8800001</v>
      </c>
      <c r="FG15" s="8">
        <f t="shared" si="13"/>
        <v>2759984627.27</v>
      </c>
      <c r="FH15" s="8">
        <f t="shared" si="13"/>
        <v>2385560547.3399997</v>
      </c>
      <c r="FI15" s="8">
        <f t="shared" si="13"/>
        <v>0</v>
      </c>
      <c r="FJ15" s="8">
        <f t="shared" si="13"/>
        <v>0</v>
      </c>
      <c r="FK15" s="8">
        <f t="shared" si="13"/>
        <v>0</v>
      </c>
      <c r="FL15" s="8">
        <f t="shared" si="13"/>
        <v>2489520209.8799996</v>
      </c>
      <c r="FM15" s="8">
        <f t="shared" si="13"/>
        <v>2445401570.4799995</v>
      </c>
      <c r="FN15" s="8">
        <f t="shared" si="13"/>
        <v>2509305657.1699996</v>
      </c>
      <c r="FO15" s="8">
        <f t="shared" si="13"/>
        <v>2478339279.5299997</v>
      </c>
      <c r="FP15" s="8">
        <f t="shared" si="13"/>
        <v>0</v>
      </c>
      <c r="FQ15" s="8">
        <f t="shared" si="13"/>
        <v>0</v>
      </c>
      <c r="FR15" s="8">
        <f t="shared" si="13"/>
        <v>2436551027.9599996</v>
      </c>
      <c r="FS15" s="8">
        <f t="shared" si="13"/>
        <v>2644747597.3899999</v>
      </c>
      <c r="FT15" s="8">
        <f t="shared" si="13"/>
        <v>2639044331.6000004</v>
      </c>
      <c r="FU15" s="8">
        <f t="shared" si="13"/>
        <v>2338975925.3000002</v>
      </c>
      <c r="FV15" s="8">
        <f t="shared" si="13"/>
        <v>2420807441.3500004</v>
      </c>
      <c r="FW15" s="8">
        <f t="shared" ref="FW15:HH15" si="14">SUM(FW3:FW14)</f>
        <v>0</v>
      </c>
      <c r="FX15" s="8">
        <f t="shared" si="14"/>
        <v>0</v>
      </c>
      <c r="FY15" s="8">
        <f t="shared" si="14"/>
        <v>3416804720.2300005</v>
      </c>
      <c r="FZ15" s="8">
        <f t="shared" si="14"/>
        <v>3450670324.4500008</v>
      </c>
      <c r="GA15" s="8">
        <f t="shared" si="14"/>
        <v>2949930129.2399998</v>
      </c>
      <c r="GB15" s="8">
        <f t="shared" si="14"/>
        <v>3051237732.8699999</v>
      </c>
      <c r="GC15" s="8">
        <f t="shared" si="14"/>
        <v>2961229621.6700001</v>
      </c>
      <c r="GD15" s="8">
        <f t="shared" si="14"/>
        <v>0</v>
      </c>
      <c r="GE15" s="8">
        <f t="shared" si="14"/>
        <v>0</v>
      </c>
      <c r="GF15" s="8">
        <f t="shared" si="14"/>
        <v>3428857564.2000003</v>
      </c>
      <c r="GG15" s="8">
        <f t="shared" si="14"/>
        <v>2370348094.4899998</v>
      </c>
      <c r="GH15" s="8">
        <f t="shared" si="14"/>
        <v>2504982007.7000003</v>
      </c>
      <c r="GI15" s="8">
        <f t="shared" si="14"/>
        <v>0</v>
      </c>
      <c r="GJ15" s="8">
        <f t="shared" si="14"/>
        <v>0</v>
      </c>
      <c r="GK15" s="8">
        <f t="shared" si="14"/>
        <v>0</v>
      </c>
      <c r="GL15" s="8">
        <f t="shared" si="14"/>
        <v>0</v>
      </c>
      <c r="GM15" s="8">
        <f t="shared" si="14"/>
        <v>0</v>
      </c>
      <c r="GN15" s="8">
        <f t="shared" si="14"/>
        <v>0</v>
      </c>
      <c r="GO15" s="8">
        <f t="shared" si="14"/>
        <v>0</v>
      </c>
      <c r="GP15" s="8">
        <f t="shared" si="14"/>
        <v>0</v>
      </c>
      <c r="GQ15" s="8">
        <f t="shared" si="14"/>
        <v>0</v>
      </c>
      <c r="GR15" s="8">
        <f t="shared" si="14"/>
        <v>0</v>
      </c>
      <c r="GS15" s="8">
        <f t="shared" si="14"/>
        <v>0</v>
      </c>
      <c r="GT15" s="8">
        <f t="shared" si="14"/>
        <v>0</v>
      </c>
      <c r="GU15" s="8">
        <f t="shared" si="14"/>
        <v>0</v>
      </c>
      <c r="GV15" s="8">
        <f t="shared" si="14"/>
        <v>0</v>
      </c>
      <c r="GW15" s="8">
        <f t="shared" si="14"/>
        <v>0</v>
      </c>
      <c r="GX15" s="8">
        <f t="shared" si="14"/>
        <v>0</v>
      </c>
      <c r="GY15" s="8">
        <f t="shared" si="14"/>
        <v>0</v>
      </c>
      <c r="GZ15" s="8">
        <f t="shared" si="14"/>
        <v>0</v>
      </c>
      <c r="HA15" s="8">
        <f t="shared" si="14"/>
        <v>0</v>
      </c>
      <c r="HB15" s="8">
        <f t="shared" si="14"/>
        <v>0</v>
      </c>
      <c r="HC15" s="8">
        <f t="shared" si="14"/>
        <v>0</v>
      </c>
      <c r="HD15" s="8">
        <f t="shared" si="14"/>
        <v>0</v>
      </c>
      <c r="HE15" s="8">
        <f t="shared" si="14"/>
        <v>0</v>
      </c>
      <c r="HF15" s="8">
        <f t="shared" si="14"/>
        <v>0</v>
      </c>
      <c r="HG15" s="8">
        <f t="shared" si="14"/>
        <v>0</v>
      </c>
      <c r="HH15" s="8">
        <f t="shared" si="14"/>
        <v>0</v>
      </c>
    </row>
    <row r="16" spans="1:216" ht="18.75" x14ac:dyDescent="0.25">
      <c r="A16" s="4"/>
      <c r="AC16" s="2">
        <f>+'[2]Balance de saldos'!$F$9</f>
        <v>507910958.89999998</v>
      </c>
      <c r="AD16" s="2">
        <f>+AD5+AD6</f>
        <v>686032194.00999999</v>
      </c>
    </row>
    <row r="17" spans="2:183" x14ac:dyDescent="0.25">
      <c r="B17" s="11"/>
      <c r="C17" s="11"/>
      <c r="D17" s="11"/>
      <c r="E17" s="11"/>
      <c r="F17" s="11"/>
      <c r="G17" s="12"/>
      <c r="H17" s="11"/>
      <c r="I17" s="11"/>
      <c r="J17" s="11"/>
      <c r="K17" s="11"/>
    </row>
    <row r="18" spans="2:183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2:183" x14ac:dyDescent="0.25">
      <c r="B19" s="11"/>
      <c r="C19" s="11"/>
      <c r="D19" s="11"/>
      <c r="E19" s="11"/>
      <c r="F19" s="11"/>
      <c r="G19" s="11"/>
      <c r="H19" s="11"/>
      <c r="I19" s="11"/>
      <c r="J19" s="11"/>
      <c r="K19" s="11"/>
      <c r="CM19" s="2">
        <f>+CM6+CM8</f>
        <v>806072255.75999999</v>
      </c>
    </row>
    <row r="20" spans="2:183" x14ac:dyDescent="0.25">
      <c r="B20" s="11"/>
      <c r="C20" s="11"/>
      <c r="D20" s="11"/>
      <c r="E20" s="11"/>
      <c r="F20" s="11"/>
      <c r="G20" s="12"/>
      <c r="H20" s="11"/>
      <c r="I20" s="11"/>
      <c r="J20" s="11"/>
      <c r="K20" s="11"/>
      <c r="BG20" s="2">
        <f>+BG6+BG8</f>
        <v>893129741.69000006</v>
      </c>
      <c r="ER20" s="120"/>
      <c r="ES20" s="120"/>
      <c r="ET20" s="120"/>
      <c r="EU20" s="120"/>
      <c r="EV20" s="120"/>
      <c r="EW20" s="120"/>
      <c r="EX20" s="120"/>
      <c r="EY20" s="120"/>
      <c r="EZ20" s="120"/>
      <c r="FA20" s="120"/>
      <c r="FB20" s="120"/>
      <c r="FC20" s="120"/>
      <c r="FD20" s="120"/>
      <c r="FE20" s="120"/>
      <c r="FF20" s="120"/>
      <c r="FG20" s="120"/>
      <c r="FH20" s="120"/>
      <c r="FI20" s="120"/>
      <c r="FJ20" s="120"/>
      <c r="FK20" s="120"/>
      <c r="FL20" s="120"/>
      <c r="FM20" s="120"/>
      <c r="FN20" s="120"/>
      <c r="FO20" s="120"/>
      <c r="FP20" s="120"/>
      <c r="FQ20" s="120"/>
      <c r="FR20" s="120"/>
      <c r="FS20" s="120"/>
      <c r="FT20" s="120"/>
      <c r="FU20" s="120"/>
      <c r="FV20" s="120"/>
      <c r="FW20" s="120"/>
      <c r="FX20" s="120"/>
      <c r="FY20" s="120"/>
      <c r="FZ20" s="120"/>
      <c r="GA20" s="120"/>
    </row>
    <row r="21" spans="2:183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1"/>
      <c r="ER21" s="120"/>
      <c r="ES21" s="120"/>
      <c r="ET21" s="120"/>
      <c r="EU21" s="120"/>
      <c r="EV21" s="120"/>
      <c r="EW21" s="120"/>
      <c r="EX21" s="120"/>
      <c r="EY21" s="120"/>
      <c r="EZ21" s="120"/>
      <c r="FA21" s="120"/>
      <c r="FB21" s="120"/>
      <c r="FC21" s="120"/>
      <c r="FD21" s="120"/>
      <c r="FE21" s="120"/>
      <c r="FF21" s="120"/>
      <c r="FG21" s="120"/>
      <c r="FH21" s="120"/>
      <c r="FI21" s="120"/>
      <c r="FJ21" s="120"/>
      <c r="FK21" s="120"/>
      <c r="FL21" s="120"/>
      <c r="FM21" s="120"/>
      <c r="FN21" s="120"/>
      <c r="FO21" s="120"/>
      <c r="FP21" s="120"/>
      <c r="FQ21" s="120"/>
      <c r="FR21" s="120"/>
      <c r="FS21" s="120"/>
      <c r="FT21" s="120"/>
      <c r="FU21" s="120"/>
      <c r="FV21" s="120"/>
      <c r="FW21" s="120"/>
      <c r="FX21" s="120"/>
      <c r="FY21" s="120"/>
      <c r="FZ21" s="120"/>
      <c r="GA21" s="120"/>
    </row>
    <row r="22" spans="2:183" x14ac:dyDescent="0.25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2:183" x14ac:dyDescent="0.25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2:183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2:183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2:183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83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2:183" x14ac:dyDescent="0.25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2:183" x14ac:dyDescent="0.25"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2:183" x14ac:dyDescent="0.25">
      <c r="B30" s="11"/>
      <c r="C30" s="11"/>
      <c r="D30" s="11"/>
      <c r="E30" s="11"/>
      <c r="F30" s="11"/>
      <c r="G30" s="11"/>
      <c r="H30" s="11"/>
      <c r="I30" s="11"/>
      <c r="J30" s="11"/>
      <c r="K30" s="11"/>
    </row>
  </sheetData>
  <dataValidations count="1">
    <dataValidation operator="greaterThanOrEqual" allowBlank="1" showInputMessage="1" showErrorMessage="1" errorTitle="Aviso" error="Use valores positivos tanto para ingresos como para gastos." sqref="B17:K19 B2:HH2" xr:uid="{EAA3A252-5407-45DD-851A-F0FB65A3156F}"/>
  </dataValidations>
  <pageMargins left="0.7" right="0.7" top="0.75" bottom="0.75" header="0.3" footer="0.3"/>
  <pageSetup paperSize="9" orientation="portrait" r:id="rId1"/>
  <ignoredErrors>
    <ignoredError sqref="EY9:EZ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CC74-3977-4FD3-8099-FA0EF72F0352}">
  <dimension ref="A1:U178"/>
  <sheetViews>
    <sheetView showGridLines="0" zoomScale="80" zoomScaleNormal="80" workbookViewId="0">
      <pane xSplit="4" ySplit="1" topLeftCell="F153" activePane="bottomRight" state="frozen"/>
      <selection pane="topRight" activeCell="E1" sqref="E1"/>
      <selection pane="bottomLeft" activeCell="A2" sqref="A2"/>
      <selection pane="bottomRight" sqref="A1:U178"/>
    </sheetView>
  </sheetViews>
  <sheetFormatPr baseColWidth="10" defaultColWidth="11.42578125" defaultRowHeight="15" x14ac:dyDescent="0.25"/>
  <cols>
    <col min="1" max="1" width="12" style="13" customWidth="1"/>
    <col min="2" max="2" width="19.28515625" style="14" bestFit="1" customWidth="1"/>
    <col min="3" max="3" width="18.42578125" style="14" bestFit="1" customWidth="1"/>
    <col min="4" max="4" width="63.7109375" style="14" customWidth="1"/>
    <col min="5" max="5" width="44.85546875" style="14" bestFit="1" customWidth="1"/>
    <col min="6" max="6" width="15.42578125" style="14" customWidth="1"/>
    <col min="7" max="7" width="19.140625" style="14" bestFit="1" customWidth="1"/>
    <col min="8" max="8" width="16.7109375" style="14" customWidth="1"/>
    <col min="9" max="9" width="19" style="14" bestFit="1" customWidth="1"/>
    <col min="10" max="10" width="19.140625" style="15" customWidth="1"/>
    <col min="11" max="11" width="19.140625" style="14" bestFit="1" customWidth="1"/>
    <col min="12" max="12" width="21" style="14" customWidth="1"/>
    <col min="13" max="13" width="17.7109375" style="14" bestFit="1" customWidth="1"/>
    <col min="14" max="14" width="17.42578125" style="14" bestFit="1" customWidth="1"/>
    <col min="15" max="16" width="20" style="14" customWidth="1"/>
    <col min="17" max="17" width="12.140625" style="14" bestFit="1" customWidth="1"/>
    <col min="18" max="18" width="16.28515625" style="14" bestFit="1" customWidth="1"/>
    <col min="19" max="19" width="17.85546875" style="13" bestFit="1" customWidth="1"/>
    <col min="20" max="20" width="18.7109375" style="14" bestFit="1" customWidth="1"/>
    <col min="21" max="21" width="12.28515625" style="14" bestFit="1" customWidth="1"/>
    <col min="22" max="16384" width="11.42578125" style="14"/>
  </cols>
  <sheetData>
    <row r="1" spans="1:21" s="16" customFormat="1" ht="24" customHeight="1" x14ac:dyDescent="0.25">
      <c r="A1" s="141" t="s">
        <v>9</v>
      </c>
      <c r="B1" s="134" t="s">
        <v>10</v>
      </c>
      <c r="C1" s="135" t="s">
        <v>11</v>
      </c>
      <c r="D1" s="133" t="s">
        <v>12</v>
      </c>
      <c r="E1" s="133" t="s">
        <v>13</v>
      </c>
      <c r="F1" s="133" t="s">
        <v>14</v>
      </c>
      <c r="G1" s="136" t="s">
        <v>15</v>
      </c>
      <c r="H1" s="137" t="s">
        <v>16</v>
      </c>
      <c r="I1" s="133" t="s">
        <v>17</v>
      </c>
      <c r="J1" s="143" t="s">
        <v>18</v>
      </c>
      <c r="K1" s="133" t="s">
        <v>19</v>
      </c>
      <c r="L1" s="137" t="s">
        <v>20</v>
      </c>
      <c r="M1" s="133" t="s">
        <v>21</v>
      </c>
      <c r="N1" s="139" t="s">
        <v>22</v>
      </c>
      <c r="O1" s="138" t="s">
        <v>23</v>
      </c>
      <c r="P1" s="139" t="s">
        <v>24</v>
      </c>
      <c r="Q1" s="139" t="s">
        <v>25</v>
      </c>
      <c r="R1" s="140" t="s">
        <v>26</v>
      </c>
      <c r="S1" s="142" t="s">
        <v>27</v>
      </c>
      <c r="T1" s="138" t="s">
        <v>28</v>
      </c>
      <c r="U1" s="144" t="s">
        <v>29</v>
      </c>
    </row>
    <row r="2" spans="1:21" x14ac:dyDescent="0.25">
      <c r="A2" s="145">
        <v>46024</v>
      </c>
      <c r="B2" s="146" t="s">
        <v>68</v>
      </c>
      <c r="C2" s="147" t="s">
        <v>69</v>
      </c>
      <c r="D2" s="148" t="s">
        <v>31</v>
      </c>
      <c r="E2" s="146" t="s">
        <v>67</v>
      </c>
      <c r="F2" s="148" t="s">
        <v>70</v>
      </c>
      <c r="G2" s="149">
        <v>55215284.060000002</v>
      </c>
      <c r="H2" s="149">
        <v>0</v>
      </c>
      <c r="I2" s="149">
        <f t="shared" ref="I2:I57" si="0">ROUND((+G2*21%),2)</f>
        <v>11595209.65</v>
      </c>
      <c r="J2" s="150">
        <f t="shared" ref="J2:J45" si="1">+K2-L2</f>
        <v>1158177.5600000024</v>
      </c>
      <c r="K2" s="154">
        <f t="shared" ref="K2:K65" si="2">SUM(G2:I2)</f>
        <v>66810493.710000001</v>
      </c>
      <c r="L2" s="151">
        <v>65652316.149999999</v>
      </c>
      <c r="M2" s="152">
        <f t="shared" ref="M2:M28" si="3">(L2/K2)-1</f>
        <v>-1.7335264203064082E-2</v>
      </c>
      <c r="N2" s="146" t="s">
        <v>71</v>
      </c>
      <c r="O2" s="145">
        <v>46086</v>
      </c>
      <c r="P2" s="145">
        <v>46087</v>
      </c>
      <c r="Q2" s="146" t="s">
        <v>72</v>
      </c>
      <c r="R2" s="153" t="str">
        <f t="shared" ref="R2:R65" si="4">+TEXT(S2,"mmmm")</f>
        <v>marzo</v>
      </c>
      <c r="S2" s="145">
        <f>+A2+60</f>
        <v>46084</v>
      </c>
      <c r="T2" s="14">
        <f t="shared" ref="T2:T45" si="5">+O2-A2</f>
        <v>62</v>
      </c>
      <c r="U2" s="14" t="str">
        <f t="shared" ref="U2:U65" si="6">+TEXT(A2,"mmmm")</f>
        <v>enero</v>
      </c>
    </row>
    <row r="3" spans="1:21" ht="15" customHeight="1" x14ac:dyDescent="0.25">
      <c r="A3" s="145">
        <v>46027</v>
      </c>
      <c r="B3" s="146" t="s">
        <v>68</v>
      </c>
      <c r="C3" s="147" t="s">
        <v>73</v>
      </c>
      <c r="D3" s="148" t="s">
        <v>32</v>
      </c>
      <c r="E3" s="146" t="s">
        <v>67</v>
      </c>
      <c r="F3" s="148" t="s">
        <v>74</v>
      </c>
      <c r="G3" s="149">
        <v>435831977.74000001</v>
      </c>
      <c r="H3" s="149">
        <v>0</v>
      </c>
      <c r="I3" s="149">
        <f t="shared" si="0"/>
        <v>91524715.329999998</v>
      </c>
      <c r="J3" s="150">
        <f t="shared" si="1"/>
        <v>86729220.170000017</v>
      </c>
      <c r="K3" s="149">
        <f t="shared" si="2"/>
        <v>527356693.06999999</v>
      </c>
      <c r="L3" s="151">
        <v>440627472.89999998</v>
      </c>
      <c r="M3" s="152">
        <f t="shared" si="3"/>
        <v>-0.16446026249350698</v>
      </c>
      <c r="N3" s="146" t="s">
        <v>75</v>
      </c>
      <c r="O3" s="145">
        <v>46087</v>
      </c>
      <c r="P3" s="145">
        <v>46091</v>
      </c>
      <c r="Q3" s="146" t="s">
        <v>76</v>
      </c>
      <c r="R3" s="153" t="str">
        <f t="shared" si="4"/>
        <v>marzo</v>
      </c>
      <c r="S3" s="145">
        <f>+A3+60</f>
        <v>46087</v>
      </c>
      <c r="T3" s="14">
        <f t="shared" si="5"/>
        <v>60</v>
      </c>
      <c r="U3" s="14" t="str">
        <f t="shared" si="6"/>
        <v>enero</v>
      </c>
    </row>
    <row r="4" spans="1:21" x14ac:dyDescent="0.25">
      <c r="A4" s="145">
        <v>46027</v>
      </c>
      <c r="B4" s="146" t="s">
        <v>68</v>
      </c>
      <c r="C4" s="147" t="s">
        <v>77</v>
      </c>
      <c r="D4" s="148" t="s">
        <v>78</v>
      </c>
      <c r="E4" s="146" t="s">
        <v>67</v>
      </c>
      <c r="F4" s="148" t="s">
        <v>79</v>
      </c>
      <c r="G4" s="149">
        <v>10505846.08</v>
      </c>
      <c r="H4" s="149">
        <v>0</v>
      </c>
      <c r="I4" s="149">
        <f t="shared" si="0"/>
        <v>2206227.6800000002</v>
      </c>
      <c r="J4" s="150">
        <f t="shared" si="1"/>
        <v>261302.75</v>
      </c>
      <c r="K4" s="149">
        <f t="shared" si="2"/>
        <v>12712073.76</v>
      </c>
      <c r="L4" s="151">
        <v>12450771.01</v>
      </c>
      <c r="M4" s="152">
        <f t="shared" si="3"/>
        <v>-2.0555477802702726E-2</v>
      </c>
      <c r="N4" s="155" t="s">
        <v>75</v>
      </c>
      <c r="O4" s="145">
        <v>46044</v>
      </c>
      <c r="P4" s="145">
        <v>46044</v>
      </c>
      <c r="Q4" s="146" t="s">
        <v>72</v>
      </c>
      <c r="R4" s="153" t="str">
        <f t="shared" si="4"/>
        <v>febrero</v>
      </c>
      <c r="S4" s="145">
        <f>+A4+30</f>
        <v>46057</v>
      </c>
      <c r="T4" s="14">
        <f t="shared" si="5"/>
        <v>17</v>
      </c>
      <c r="U4" s="14" t="str">
        <f t="shared" si="6"/>
        <v>enero</v>
      </c>
    </row>
    <row r="5" spans="1:21" ht="13.9" customHeight="1" x14ac:dyDescent="0.25">
      <c r="A5" s="145">
        <v>46027</v>
      </c>
      <c r="B5" s="146" t="s">
        <v>68</v>
      </c>
      <c r="C5" s="147" t="s">
        <v>80</v>
      </c>
      <c r="D5" s="148" t="s">
        <v>33</v>
      </c>
      <c r="E5" s="146" t="s">
        <v>81</v>
      </c>
      <c r="F5" s="148" t="s">
        <v>82</v>
      </c>
      <c r="G5" s="149">
        <v>25893515.079999998</v>
      </c>
      <c r="H5" s="149">
        <v>336615.7</v>
      </c>
      <c r="I5" s="149">
        <f t="shared" si="0"/>
        <v>5437638.1699999999</v>
      </c>
      <c r="J5" s="150">
        <f t="shared" si="1"/>
        <v>645994.47999999672</v>
      </c>
      <c r="K5" s="154">
        <f t="shared" si="2"/>
        <v>31667768.949999996</v>
      </c>
      <c r="L5" s="151">
        <v>31021774.469999999</v>
      </c>
      <c r="M5" s="152">
        <f t="shared" si="3"/>
        <v>-2.0399115612468655E-2</v>
      </c>
      <c r="N5" s="146" t="s">
        <v>75</v>
      </c>
      <c r="O5" s="145">
        <v>46059</v>
      </c>
      <c r="P5" s="145">
        <v>46059</v>
      </c>
      <c r="Q5" s="146" t="s">
        <v>72</v>
      </c>
      <c r="R5" s="153" t="str">
        <f t="shared" si="4"/>
        <v>febrero</v>
      </c>
      <c r="S5" s="145">
        <f>+A5+30</f>
        <v>46057</v>
      </c>
      <c r="T5" s="14">
        <f t="shared" si="5"/>
        <v>32</v>
      </c>
      <c r="U5" s="14" t="str">
        <f t="shared" si="6"/>
        <v>enero</v>
      </c>
    </row>
    <row r="6" spans="1:21" x14ac:dyDescent="0.25">
      <c r="A6" s="145">
        <v>46028</v>
      </c>
      <c r="B6" s="146" t="s">
        <v>68</v>
      </c>
      <c r="C6" s="147" t="s">
        <v>83</v>
      </c>
      <c r="D6" s="148" t="s">
        <v>84</v>
      </c>
      <c r="E6" s="146" t="s">
        <v>85</v>
      </c>
      <c r="F6" s="148" t="s">
        <v>70</v>
      </c>
      <c r="G6" s="149">
        <v>31200000</v>
      </c>
      <c r="H6" s="149">
        <v>546000</v>
      </c>
      <c r="I6" s="149">
        <f t="shared" si="0"/>
        <v>6552000</v>
      </c>
      <c r="J6" s="150">
        <f t="shared" si="1"/>
        <v>2027328</v>
      </c>
      <c r="K6" s="154">
        <f t="shared" si="2"/>
        <v>38298000</v>
      </c>
      <c r="L6" s="151">
        <v>36270672</v>
      </c>
      <c r="M6" s="152">
        <f t="shared" si="3"/>
        <v>-5.2935610214632667E-2</v>
      </c>
      <c r="N6" s="146" t="s">
        <v>75</v>
      </c>
      <c r="O6" s="145">
        <v>46048</v>
      </c>
      <c r="P6" s="145">
        <v>46048</v>
      </c>
      <c r="Q6" s="146" t="s">
        <v>72</v>
      </c>
      <c r="R6" s="153" t="str">
        <f t="shared" si="4"/>
        <v>enero</v>
      </c>
      <c r="S6" s="145">
        <f>+A6+10</f>
        <v>46038</v>
      </c>
      <c r="T6" s="14">
        <f t="shared" si="5"/>
        <v>20</v>
      </c>
      <c r="U6" s="14" t="str">
        <f t="shared" si="6"/>
        <v>enero</v>
      </c>
    </row>
    <row r="7" spans="1:21" x14ac:dyDescent="0.25">
      <c r="A7" s="145">
        <v>46028</v>
      </c>
      <c r="B7" s="146" t="s">
        <v>68</v>
      </c>
      <c r="C7" s="147" t="s">
        <v>86</v>
      </c>
      <c r="D7" s="148" t="s">
        <v>34</v>
      </c>
      <c r="E7" s="146" t="s">
        <v>67</v>
      </c>
      <c r="F7" s="148" t="s">
        <v>87</v>
      </c>
      <c r="G7" s="149">
        <v>18302687.170000002</v>
      </c>
      <c r="H7" s="149">
        <v>0</v>
      </c>
      <c r="I7" s="149">
        <f t="shared" si="0"/>
        <v>3843564.31</v>
      </c>
      <c r="J7" s="150">
        <f t="shared" si="1"/>
        <v>3640891.3500000015</v>
      </c>
      <c r="K7" s="154">
        <f t="shared" si="2"/>
        <v>22146251.48</v>
      </c>
      <c r="L7" s="151">
        <v>18505360.129999999</v>
      </c>
      <c r="M7" s="152">
        <f t="shared" si="3"/>
        <v>-0.16440214964993261</v>
      </c>
      <c r="N7" s="146" t="s">
        <v>71</v>
      </c>
      <c r="O7" s="145">
        <v>46063</v>
      </c>
      <c r="P7" s="145">
        <v>46066</v>
      </c>
      <c r="Q7" s="146" t="s">
        <v>72</v>
      </c>
      <c r="R7" s="153" t="str">
        <f t="shared" si="4"/>
        <v>febrero</v>
      </c>
      <c r="S7" s="145">
        <f>+A7+30</f>
        <v>46058</v>
      </c>
      <c r="T7" s="14">
        <f t="shared" si="5"/>
        <v>35</v>
      </c>
      <c r="U7" s="14" t="str">
        <f t="shared" si="6"/>
        <v>enero</v>
      </c>
    </row>
    <row r="8" spans="1:21" x14ac:dyDescent="0.25">
      <c r="A8" s="145">
        <v>46028</v>
      </c>
      <c r="B8" s="146" t="s">
        <v>68</v>
      </c>
      <c r="C8" s="147" t="s">
        <v>88</v>
      </c>
      <c r="D8" s="156" t="s">
        <v>35</v>
      </c>
      <c r="E8" s="146" t="s">
        <v>67</v>
      </c>
      <c r="F8" s="148" t="s">
        <v>89</v>
      </c>
      <c r="G8" s="149">
        <v>21953882.219999999</v>
      </c>
      <c r="H8" s="149">
        <v>878155.29</v>
      </c>
      <c r="I8" s="149">
        <f t="shared" si="0"/>
        <v>4610315.2699999996</v>
      </c>
      <c r="J8" s="150">
        <f t="shared" si="1"/>
        <v>547503.64999999851</v>
      </c>
      <c r="K8" s="149">
        <f t="shared" si="2"/>
        <v>27442352.779999997</v>
      </c>
      <c r="L8" s="151">
        <v>26894849.129999999</v>
      </c>
      <c r="M8" s="152">
        <f t="shared" si="3"/>
        <v>-1.9951046267396522E-2</v>
      </c>
      <c r="N8" s="153" t="s">
        <v>75</v>
      </c>
      <c r="O8" s="145">
        <v>46091</v>
      </c>
      <c r="P8" s="145">
        <v>46091</v>
      </c>
      <c r="Q8" s="153" t="s">
        <v>72</v>
      </c>
      <c r="R8" s="153" t="str">
        <f t="shared" si="4"/>
        <v>marzo</v>
      </c>
      <c r="S8" s="145">
        <f t="shared" ref="S8:S9" si="7">+A8+60</f>
        <v>46088</v>
      </c>
      <c r="T8" s="14">
        <f t="shared" si="5"/>
        <v>63</v>
      </c>
      <c r="U8" s="14" t="str">
        <f t="shared" si="6"/>
        <v>enero</v>
      </c>
    </row>
    <row r="9" spans="1:21" ht="13.9" customHeight="1" x14ac:dyDescent="0.25">
      <c r="A9" s="145">
        <v>46028</v>
      </c>
      <c r="B9" s="146" t="s">
        <v>68</v>
      </c>
      <c r="C9" s="147" t="s">
        <v>90</v>
      </c>
      <c r="D9" s="156" t="s">
        <v>36</v>
      </c>
      <c r="E9" s="146" t="s">
        <v>67</v>
      </c>
      <c r="F9" s="148" t="s">
        <v>91</v>
      </c>
      <c r="G9" s="149">
        <v>2447937.1</v>
      </c>
      <c r="H9" s="149">
        <v>0</v>
      </c>
      <c r="I9" s="149">
        <f t="shared" si="0"/>
        <v>514066.79</v>
      </c>
      <c r="J9" s="150">
        <f t="shared" si="1"/>
        <v>47615.340000000317</v>
      </c>
      <c r="K9" s="154">
        <f t="shared" si="2"/>
        <v>2962003.89</v>
      </c>
      <c r="L9" s="151">
        <v>2914388.55</v>
      </c>
      <c r="M9" s="152">
        <f t="shared" si="3"/>
        <v>-1.607538064374392E-2</v>
      </c>
      <c r="N9" s="153" t="s">
        <v>75</v>
      </c>
      <c r="O9" s="145">
        <v>46090</v>
      </c>
      <c r="P9" s="145">
        <v>46090</v>
      </c>
      <c r="Q9" s="145" t="s">
        <v>72</v>
      </c>
      <c r="R9" s="153" t="str">
        <f t="shared" si="4"/>
        <v>marzo</v>
      </c>
      <c r="S9" s="145">
        <f t="shared" si="7"/>
        <v>46088</v>
      </c>
      <c r="T9" s="14">
        <f t="shared" si="5"/>
        <v>62</v>
      </c>
      <c r="U9" s="14" t="str">
        <f t="shared" si="6"/>
        <v>enero</v>
      </c>
    </row>
    <row r="10" spans="1:21" ht="13.15" customHeight="1" x14ac:dyDescent="0.25">
      <c r="A10" s="145">
        <v>46029</v>
      </c>
      <c r="B10" s="146" t="s">
        <v>68</v>
      </c>
      <c r="C10" s="147" t="s">
        <v>92</v>
      </c>
      <c r="D10" s="156" t="s">
        <v>93</v>
      </c>
      <c r="E10" s="146" t="s">
        <v>67</v>
      </c>
      <c r="F10" s="148" t="s">
        <v>94</v>
      </c>
      <c r="G10" s="149">
        <v>1263666.67</v>
      </c>
      <c r="H10" s="149">
        <v>0</v>
      </c>
      <c r="I10" s="149">
        <f t="shared" si="0"/>
        <v>265370</v>
      </c>
      <c r="J10" s="150">
        <f t="shared" si="1"/>
        <v>0</v>
      </c>
      <c r="K10" s="149">
        <f t="shared" si="2"/>
        <v>1529036.67</v>
      </c>
      <c r="L10" s="151">
        <v>1529036.67</v>
      </c>
      <c r="M10" s="152">
        <f t="shared" si="3"/>
        <v>0</v>
      </c>
      <c r="N10" s="145" t="s">
        <v>75</v>
      </c>
      <c r="O10" s="145">
        <v>46035</v>
      </c>
      <c r="P10" s="145">
        <v>46035</v>
      </c>
      <c r="Q10" s="153" t="s">
        <v>72</v>
      </c>
      <c r="R10" s="153" t="str">
        <f t="shared" si="4"/>
        <v>febrero</v>
      </c>
      <c r="S10" s="145">
        <f>+A10+30</f>
        <v>46059</v>
      </c>
      <c r="T10" s="14">
        <f t="shared" si="5"/>
        <v>6</v>
      </c>
      <c r="U10" s="14" t="str">
        <f t="shared" si="6"/>
        <v>enero</v>
      </c>
    </row>
    <row r="11" spans="1:21" x14ac:dyDescent="0.25">
      <c r="A11" s="145">
        <v>46029</v>
      </c>
      <c r="B11" s="146" t="s">
        <v>68</v>
      </c>
      <c r="C11" s="147" t="s">
        <v>95</v>
      </c>
      <c r="D11" s="156" t="s">
        <v>96</v>
      </c>
      <c r="E11" s="146" t="s">
        <v>67</v>
      </c>
      <c r="F11" s="148" t="s">
        <v>97</v>
      </c>
      <c r="G11" s="149">
        <v>43477763.740000002</v>
      </c>
      <c r="H11" s="149">
        <v>2173888.19</v>
      </c>
      <c r="I11" s="149">
        <f t="shared" si="0"/>
        <v>9130330.3900000006</v>
      </c>
      <c r="J11" s="150">
        <f t="shared" si="1"/>
        <v>4010504.1000000015</v>
      </c>
      <c r="K11" s="149">
        <f t="shared" si="2"/>
        <v>54781982.32</v>
      </c>
      <c r="L11" s="151">
        <v>50771478.219999999</v>
      </c>
      <c r="M11" s="152">
        <f t="shared" si="3"/>
        <v>-7.3208451577624456E-2</v>
      </c>
      <c r="N11" s="146" t="s">
        <v>75</v>
      </c>
      <c r="O11" s="145">
        <v>46044</v>
      </c>
      <c r="P11" s="145">
        <v>46052</v>
      </c>
      <c r="Q11" s="146" t="s">
        <v>72</v>
      </c>
      <c r="R11" s="153" t="str">
        <f t="shared" si="4"/>
        <v>febrero</v>
      </c>
      <c r="S11" s="145">
        <f>+A11+30</f>
        <v>46059</v>
      </c>
      <c r="T11" s="14">
        <f t="shared" si="5"/>
        <v>15</v>
      </c>
      <c r="U11" s="14" t="str">
        <f t="shared" si="6"/>
        <v>enero</v>
      </c>
    </row>
    <row r="12" spans="1:21" x14ac:dyDescent="0.25">
      <c r="A12" s="145">
        <v>46029</v>
      </c>
      <c r="B12" s="146" t="s">
        <v>68</v>
      </c>
      <c r="C12" s="147" t="s">
        <v>98</v>
      </c>
      <c r="D12" s="156" t="s">
        <v>99</v>
      </c>
      <c r="E12" s="146" t="s">
        <v>67</v>
      </c>
      <c r="F12" s="148" t="s">
        <v>100</v>
      </c>
      <c r="G12" s="149">
        <v>17070482.93</v>
      </c>
      <c r="H12" s="149">
        <v>0</v>
      </c>
      <c r="I12" s="149">
        <f t="shared" si="0"/>
        <v>3584801.42</v>
      </c>
      <c r="J12" s="150">
        <f t="shared" si="1"/>
        <v>341409.66000000015</v>
      </c>
      <c r="K12" s="149">
        <f t="shared" si="2"/>
        <v>20655284.350000001</v>
      </c>
      <c r="L12" s="151">
        <v>20313874.690000001</v>
      </c>
      <c r="M12" s="152">
        <f t="shared" si="3"/>
        <v>-1.6528925683852891E-2</v>
      </c>
      <c r="N12" s="145" t="s">
        <v>75</v>
      </c>
      <c r="O12" s="145">
        <v>46052</v>
      </c>
      <c r="P12" s="145">
        <v>46051</v>
      </c>
      <c r="Q12" s="153" t="s">
        <v>72</v>
      </c>
      <c r="R12" s="153" t="str">
        <f t="shared" si="4"/>
        <v>febrero</v>
      </c>
      <c r="S12" s="145">
        <f>+A12+30</f>
        <v>46059</v>
      </c>
      <c r="T12" s="14">
        <f t="shared" si="5"/>
        <v>23</v>
      </c>
      <c r="U12" s="14" t="str">
        <f t="shared" si="6"/>
        <v>enero</v>
      </c>
    </row>
    <row r="13" spans="1:21" ht="15" customHeight="1" x14ac:dyDescent="0.25">
      <c r="A13" s="145">
        <v>46029</v>
      </c>
      <c r="B13" s="146" t="s">
        <v>68</v>
      </c>
      <c r="C13" s="147" t="s">
        <v>101</v>
      </c>
      <c r="D13" s="148" t="s">
        <v>37</v>
      </c>
      <c r="E13" s="146" t="s">
        <v>67</v>
      </c>
      <c r="F13" s="148" t="s">
        <v>102</v>
      </c>
      <c r="G13" s="149">
        <v>36730633.479999997</v>
      </c>
      <c r="H13" s="149">
        <v>1836531.67</v>
      </c>
      <c r="I13" s="149">
        <f t="shared" si="0"/>
        <v>7713433.0300000003</v>
      </c>
      <c r="J13" s="150">
        <f t="shared" si="1"/>
        <v>918265.83999999613</v>
      </c>
      <c r="K13" s="154">
        <f t="shared" si="2"/>
        <v>46280598.18</v>
      </c>
      <c r="L13" s="151">
        <v>45362332.340000004</v>
      </c>
      <c r="M13" s="152">
        <f t="shared" si="3"/>
        <v>-1.9841269908149606E-2</v>
      </c>
      <c r="N13" s="146" t="s">
        <v>75</v>
      </c>
      <c r="O13" s="145">
        <v>46093</v>
      </c>
      <c r="P13" s="145">
        <v>46093</v>
      </c>
      <c r="Q13" s="146" t="s">
        <v>72</v>
      </c>
      <c r="R13" s="153" t="str">
        <f t="shared" si="4"/>
        <v>marzo</v>
      </c>
      <c r="S13" s="145">
        <f t="shared" ref="S13:S22" si="8">+A13+60</f>
        <v>46089</v>
      </c>
      <c r="T13" s="14">
        <f t="shared" si="5"/>
        <v>64</v>
      </c>
      <c r="U13" s="14" t="str">
        <f t="shared" si="6"/>
        <v>enero</v>
      </c>
    </row>
    <row r="14" spans="1:21" x14ac:dyDescent="0.25">
      <c r="A14" s="145">
        <v>46029</v>
      </c>
      <c r="B14" s="146" t="s">
        <v>68</v>
      </c>
      <c r="C14" s="147" t="s">
        <v>103</v>
      </c>
      <c r="D14" s="148" t="s">
        <v>37</v>
      </c>
      <c r="E14" s="146" t="s">
        <v>67</v>
      </c>
      <c r="F14" s="148" t="s">
        <v>102</v>
      </c>
      <c r="G14" s="149">
        <v>2983276.12</v>
      </c>
      <c r="H14" s="149">
        <v>149163.81</v>
      </c>
      <c r="I14" s="149">
        <f t="shared" si="0"/>
        <v>626487.99</v>
      </c>
      <c r="J14" s="150">
        <f t="shared" si="1"/>
        <v>75178.55839999998</v>
      </c>
      <c r="K14" s="154">
        <f t="shared" si="2"/>
        <v>3758927.92</v>
      </c>
      <c r="L14" s="151">
        <f>+K14*98%</f>
        <v>3683749.3615999999</v>
      </c>
      <c r="M14" s="152">
        <f t="shared" si="3"/>
        <v>-2.0000000000000018E-2</v>
      </c>
      <c r="N14" s="146" t="s">
        <v>75</v>
      </c>
      <c r="O14" s="145">
        <v>46090</v>
      </c>
      <c r="P14" s="145">
        <v>46090</v>
      </c>
      <c r="Q14" s="146" t="s">
        <v>72</v>
      </c>
      <c r="R14" s="153" t="str">
        <f t="shared" si="4"/>
        <v>marzo</v>
      </c>
      <c r="S14" s="145">
        <f t="shared" si="8"/>
        <v>46089</v>
      </c>
      <c r="T14" s="14">
        <f t="shared" si="5"/>
        <v>61</v>
      </c>
      <c r="U14" s="14" t="str">
        <f t="shared" si="6"/>
        <v>enero</v>
      </c>
    </row>
    <row r="15" spans="1:21" x14ac:dyDescent="0.25">
      <c r="A15" s="145">
        <v>46029</v>
      </c>
      <c r="B15" s="146" t="s">
        <v>68</v>
      </c>
      <c r="C15" s="147" t="s">
        <v>104</v>
      </c>
      <c r="D15" s="156" t="s">
        <v>35</v>
      </c>
      <c r="E15" s="146" t="s">
        <v>67</v>
      </c>
      <c r="F15" s="148" t="s">
        <v>89</v>
      </c>
      <c r="G15" s="149">
        <v>3156932.18</v>
      </c>
      <c r="H15" s="149">
        <v>126277.29</v>
      </c>
      <c r="I15" s="149">
        <f t="shared" si="0"/>
        <v>662955.76</v>
      </c>
      <c r="J15" s="150">
        <f t="shared" si="1"/>
        <v>78923.310000000522</v>
      </c>
      <c r="K15" s="149">
        <f t="shared" si="2"/>
        <v>3946165.2300000004</v>
      </c>
      <c r="L15" s="151">
        <v>3867241.92</v>
      </c>
      <c r="M15" s="152">
        <f t="shared" si="3"/>
        <v>-2.0000001368417286E-2</v>
      </c>
      <c r="N15" s="153" t="s">
        <v>75</v>
      </c>
      <c r="O15" s="145">
        <v>46092</v>
      </c>
      <c r="P15" s="145">
        <v>46092</v>
      </c>
      <c r="Q15" s="153" t="s">
        <v>72</v>
      </c>
      <c r="R15" s="153" t="str">
        <f t="shared" si="4"/>
        <v>marzo</v>
      </c>
      <c r="S15" s="145">
        <f t="shared" si="8"/>
        <v>46089</v>
      </c>
      <c r="T15" s="14">
        <f t="shared" si="5"/>
        <v>63</v>
      </c>
      <c r="U15" s="14" t="str">
        <f t="shared" si="6"/>
        <v>enero</v>
      </c>
    </row>
    <row r="16" spans="1:21" x14ac:dyDescent="0.25">
      <c r="A16" s="145">
        <v>46029</v>
      </c>
      <c r="B16" s="146" t="s">
        <v>68</v>
      </c>
      <c r="C16" s="147" t="s">
        <v>105</v>
      </c>
      <c r="D16" s="148" t="s">
        <v>37</v>
      </c>
      <c r="E16" s="146" t="s">
        <v>67</v>
      </c>
      <c r="F16" s="148" t="s">
        <v>102</v>
      </c>
      <c r="G16" s="149">
        <v>24997646.09</v>
      </c>
      <c r="H16" s="149">
        <v>1249882.3</v>
      </c>
      <c r="I16" s="149">
        <f t="shared" si="0"/>
        <v>5249505.68</v>
      </c>
      <c r="J16" s="150">
        <f t="shared" si="1"/>
        <v>624941.14999999851</v>
      </c>
      <c r="K16" s="154">
        <f t="shared" si="2"/>
        <v>31497034.07</v>
      </c>
      <c r="L16" s="151">
        <v>30872092.920000002</v>
      </c>
      <c r="M16" s="152">
        <f t="shared" si="3"/>
        <v>-1.9841269771976311E-2</v>
      </c>
      <c r="N16" s="146" t="s">
        <v>75</v>
      </c>
      <c r="O16" s="145">
        <v>46092</v>
      </c>
      <c r="P16" s="145">
        <v>46092</v>
      </c>
      <c r="Q16" s="146" t="s">
        <v>72</v>
      </c>
      <c r="R16" s="153" t="str">
        <f t="shared" si="4"/>
        <v>marzo</v>
      </c>
      <c r="S16" s="145">
        <f t="shared" si="8"/>
        <v>46089</v>
      </c>
      <c r="T16" s="14">
        <f t="shared" si="5"/>
        <v>63</v>
      </c>
      <c r="U16" s="14" t="str">
        <f t="shared" si="6"/>
        <v>enero</v>
      </c>
    </row>
    <row r="17" spans="1:21" ht="13.15" customHeight="1" x14ac:dyDescent="0.25">
      <c r="A17" s="145">
        <v>46029</v>
      </c>
      <c r="B17" s="146" t="s">
        <v>68</v>
      </c>
      <c r="C17" s="147" t="s">
        <v>106</v>
      </c>
      <c r="D17" s="148" t="s">
        <v>37</v>
      </c>
      <c r="E17" s="146" t="s">
        <v>67</v>
      </c>
      <c r="F17" s="148" t="s">
        <v>102</v>
      </c>
      <c r="G17" s="149">
        <v>52477064.609999999</v>
      </c>
      <c r="H17" s="149">
        <v>2623853.23</v>
      </c>
      <c r="I17" s="149">
        <f t="shared" si="0"/>
        <v>11020183.57</v>
      </c>
      <c r="J17" s="150">
        <f t="shared" si="1"/>
        <v>1311926.6099999994</v>
      </c>
      <c r="K17" s="154">
        <f t="shared" si="2"/>
        <v>66121101.409999996</v>
      </c>
      <c r="L17" s="151">
        <v>64809174.799999997</v>
      </c>
      <c r="M17" s="152">
        <f t="shared" si="3"/>
        <v>-1.9841269761449953E-2</v>
      </c>
      <c r="N17" s="146" t="s">
        <v>75</v>
      </c>
      <c r="O17" s="145">
        <v>46094</v>
      </c>
      <c r="P17" s="145">
        <v>46094</v>
      </c>
      <c r="Q17" s="146" t="s">
        <v>72</v>
      </c>
      <c r="R17" s="153" t="str">
        <f t="shared" si="4"/>
        <v>marzo</v>
      </c>
      <c r="S17" s="145">
        <f t="shared" si="8"/>
        <v>46089</v>
      </c>
      <c r="T17" s="14">
        <f t="shared" si="5"/>
        <v>65</v>
      </c>
      <c r="U17" s="14" t="str">
        <f t="shared" si="6"/>
        <v>enero</v>
      </c>
    </row>
    <row r="18" spans="1:21" x14ac:dyDescent="0.25">
      <c r="A18" s="145">
        <v>46029</v>
      </c>
      <c r="B18" s="146" t="s">
        <v>68</v>
      </c>
      <c r="C18" s="147" t="s">
        <v>107</v>
      </c>
      <c r="D18" s="148" t="s">
        <v>37</v>
      </c>
      <c r="E18" s="146" t="s">
        <v>67</v>
      </c>
      <c r="F18" s="148" t="s">
        <v>102</v>
      </c>
      <c r="G18" s="149">
        <v>5966552.2400000002</v>
      </c>
      <c r="H18" s="149">
        <v>298327.61</v>
      </c>
      <c r="I18" s="149">
        <f t="shared" si="0"/>
        <v>1252975.97</v>
      </c>
      <c r="J18" s="150">
        <f t="shared" si="1"/>
        <v>149163.81000000052</v>
      </c>
      <c r="K18" s="154">
        <f t="shared" si="2"/>
        <v>7517855.8200000003</v>
      </c>
      <c r="L18" s="151">
        <v>7368692.0099999998</v>
      </c>
      <c r="M18" s="152">
        <f t="shared" si="3"/>
        <v>-1.984127037967065E-2</v>
      </c>
      <c r="N18" s="146" t="s">
        <v>75</v>
      </c>
      <c r="O18" s="145">
        <v>46091</v>
      </c>
      <c r="P18" s="145">
        <v>46091</v>
      </c>
      <c r="Q18" s="146" t="s">
        <v>72</v>
      </c>
      <c r="R18" s="153" t="str">
        <f t="shared" si="4"/>
        <v>marzo</v>
      </c>
      <c r="S18" s="145">
        <f t="shared" si="8"/>
        <v>46089</v>
      </c>
      <c r="T18" s="14">
        <f t="shared" si="5"/>
        <v>62</v>
      </c>
      <c r="U18" s="14" t="str">
        <f t="shared" si="6"/>
        <v>enero</v>
      </c>
    </row>
    <row r="19" spans="1:21" x14ac:dyDescent="0.25">
      <c r="A19" s="145">
        <v>46029</v>
      </c>
      <c r="B19" s="146" t="s">
        <v>68</v>
      </c>
      <c r="C19" s="147" t="s">
        <v>108</v>
      </c>
      <c r="D19" s="156" t="s">
        <v>36</v>
      </c>
      <c r="E19" s="146" t="s">
        <v>67</v>
      </c>
      <c r="F19" s="148" t="s">
        <v>91</v>
      </c>
      <c r="G19" s="149">
        <v>2983276.12</v>
      </c>
      <c r="H19" s="149">
        <v>0</v>
      </c>
      <c r="I19" s="149">
        <f t="shared" si="0"/>
        <v>626487.99</v>
      </c>
      <c r="J19" s="150">
        <f t="shared" si="1"/>
        <v>59665.520000000484</v>
      </c>
      <c r="K19" s="154">
        <f t="shared" si="2"/>
        <v>3609764.1100000003</v>
      </c>
      <c r="L19" s="151">
        <v>3550098.59</v>
      </c>
      <c r="M19" s="152">
        <f t="shared" si="3"/>
        <v>-1.6528924932992517E-2</v>
      </c>
      <c r="N19" s="153" t="s">
        <v>75</v>
      </c>
      <c r="O19" s="145">
        <v>46092</v>
      </c>
      <c r="P19" s="145">
        <v>46092</v>
      </c>
      <c r="Q19" s="145" t="s">
        <v>72</v>
      </c>
      <c r="R19" s="153" t="str">
        <f t="shared" si="4"/>
        <v>marzo</v>
      </c>
      <c r="S19" s="145">
        <f t="shared" si="8"/>
        <v>46089</v>
      </c>
      <c r="T19" s="14">
        <f t="shared" si="5"/>
        <v>63</v>
      </c>
      <c r="U19" s="14" t="str">
        <f t="shared" si="6"/>
        <v>enero</v>
      </c>
    </row>
    <row r="20" spans="1:21" x14ac:dyDescent="0.25">
      <c r="A20" s="145">
        <v>46029</v>
      </c>
      <c r="B20" s="146" t="s">
        <v>68</v>
      </c>
      <c r="C20" s="147" t="s">
        <v>109</v>
      </c>
      <c r="D20" s="148" t="s">
        <v>37</v>
      </c>
      <c r="E20" s="146" t="s">
        <v>67</v>
      </c>
      <c r="F20" s="148" t="s">
        <v>102</v>
      </c>
      <c r="G20" s="149">
        <v>3430310.87</v>
      </c>
      <c r="H20" s="149">
        <v>171515.54</v>
      </c>
      <c r="I20" s="149">
        <f t="shared" si="0"/>
        <v>720365.28</v>
      </c>
      <c r="J20" s="150">
        <f t="shared" si="1"/>
        <v>83492.701800000854</v>
      </c>
      <c r="K20" s="154">
        <f t="shared" si="2"/>
        <v>4322191.6900000004</v>
      </c>
      <c r="L20" s="151">
        <f>9929087.52-L14-L21-L22-L34</f>
        <v>4238698.9881999996</v>
      </c>
      <c r="M20" s="152">
        <f t="shared" si="3"/>
        <v>-1.9317213994273552E-2</v>
      </c>
      <c r="N20" s="146" t="s">
        <v>75</v>
      </c>
      <c r="O20" s="145">
        <v>46090</v>
      </c>
      <c r="P20" s="145">
        <v>46090</v>
      </c>
      <c r="Q20" s="146" t="s">
        <v>72</v>
      </c>
      <c r="R20" s="153" t="str">
        <f t="shared" si="4"/>
        <v>marzo</v>
      </c>
      <c r="S20" s="145">
        <f t="shared" si="8"/>
        <v>46089</v>
      </c>
      <c r="T20" s="14">
        <f t="shared" si="5"/>
        <v>61</v>
      </c>
      <c r="U20" s="14" t="str">
        <f t="shared" si="6"/>
        <v>enero</v>
      </c>
    </row>
    <row r="21" spans="1:21" x14ac:dyDescent="0.25">
      <c r="A21" s="145">
        <v>46029</v>
      </c>
      <c r="B21" s="146" t="s">
        <v>68</v>
      </c>
      <c r="C21" s="147" t="s">
        <v>110</v>
      </c>
      <c r="D21" s="148" t="s">
        <v>37</v>
      </c>
      <c r="E21" s="146" t="s">
        <v>67</v>
      </c>
      <c r="F21" s="148" t="s">
        <v>102</v>
      </c>
      <c r="G21" s="149">
        <v>1443245.04</v>
      </c>
      <c r="H21" s="149">
        <v>72162.25</v>
      </c>
      <c r="I21" s="149">
        <f t="shared" si="0"/>
        <v>303081.46000000002</v>
      </c>
      <c r="J21" s="150">
        <f t="shared" si="1"/>
        <v>36369.77500000014</v>
      </c>
      <c r="K21" s="154">
        <f t="shared" si="2"/>
        <v>1818488.75</v>
      </c>
      <c r="L21" s="151">
        <f>+K21*98%</f>
        <v>1782118.9749999999</v>
      </c>
      <c r="M21" s="152">
        <f t="shared" si="3"/>
        <v>-2.0000000000000129E-2</v>
      </c>
      <c r="N21" s="146" t="s">
        <v>75</v>
      </c>
      <c r="O21" s="145">
        <v>46090</v>
      </c>
      <c r="P21" s="145">
        <v>46090</v>
      </c>
      <c r="Q21" s="146" t="s">
        <v>72</v>
      </c>
      <c r="R21" s="153" t="str">
        <f t="shared" si="4"/>
        <v>marzo</v>
      </c>
      <c r="S21" s="145">
        <f t="shared" si="8"/>
        <v>46089</v>
      </c>
      <c r="T21" s="14">
        <f t="shared" si="5"/>
        <v>61</v>
      </c>
      <c r="U21" s="14" t="str">
        <f t="shared" si="6"/>
        <v>enero</v>
      </c>
    </row>
    <row r="22" spans="1:21" x14ac:dyDescent="0.25">
      <c r="A22" s="145">
        <v>46030</v>
      </c>
      <c r="B22" s="146" t="s">
        <v>68</v>
      </c>
      <c r="C22" s="147" t="s">
        <v>111</v>
      </c>
      <c r="D22" s="148" t="s">
        <v>37</v>
      </c>
      <c r="E22" s="146" t="s">
        <v>67</v>
      </c>
      <c r="F22" s="148" t="s">
        <v>102</v>
      </c>
      <c r="G22" s="149">
        <v>31827.17</v>
      </c>
      <c r="H22" s="149">
        <v>1591.36</v>
      </c>
      <c r="I22" s="149">
        <f t="shared" si="0"/>
        <v>6683.71</v>
      </c>
      <c r="J22" s="150">
        <f t="shared" si="1"/>
        <v>802.04480000000331</v>
      </c>
      <c r="K22" s="154">
        <f t="shared" si="2"/>
        <v>40102.239999999998</v>
      </c>
      <c r="L22" s="151">
        <f>+K22*98%</f>
        <v>39300.195199999995</v>
      </c>
      <c r="M22" s="152">
        <f t="shared" si="3"/>
        <v>-2.0000000000000129E-2</v>
      </c>
      <c r="N22" s="146" t="s">
        <v>75</v>
      </c>
      <c r="O22" s="145">
        <v>46090</v>
      </c>
      <c r="P22" s="145">
        <v>46090</v>
      </c>
      <c r="Q22" s="146" t="s">
        <v>72</v>
      </c>
      <c r="R22" s="153" t="str">
        <f t="shared" si="4"/>
        <v>marzo</v>
      </c>
      <c r="S22" s="145">
        <f t="shared" si="8"/>
        <v>46090</v>
      </c>
      <c r="T22" s="14">
        <f t="shared" si="5"/>
        <v>60</v>
      </c>
      <c r="U22" s="14" t="str">
        <f t="shared" si="6"/>
        <v>enero</v>
      </c>
    </row>
    <row r="23" spans="1:21" x14ac:dyDescent="0.25">
      <c r="A23" s="145">
        <v>46031</v>
      </c>
      <c r="B23" s="146" t="s">
        <v>68</v>
      </c>
      <c r="C23" s="147" t="s">
        <v>112</v>
      </c>
      <c r="D23" s="148" t="s">
        <v>38</v>
      </c>
      <c r="E23" s="146" t="s">
        <v>113</v>
      </c>
      <c r="F23" s="148" t="s">
        <v>114</v>
      </c>
      <c r="G23" s="149">
        <v>63856881.759999998</v>
      </c>
      <c r="H23" s="149">
        <v>0</v>
      </c>
      <c r="I23" s="149">
        <f t="shared" si="0"/>
        <v>13409945.17</v>
      </c>
      <c r="J23" s="150">
        <f t="shared" si="1"/>
        <v>12706176.079999991</v>
      </c>
      <c r="K23" s="149">
        <f t="shared" si="2"/>
        <v>77266826.929999992</v>
      </c>
      <c r="L23" s="151">
        <v>64560650.850000001</v>
      </c>
      <c r="M23" s="152">
        <f t="shared" si="3"/>
        <v>-0.16444542353876102</v>
      </c>
      <c r="N23" s="146" t="s">
        <v>71</v>
      </c>
      <c r="O23" s="145">
        <v>46153</v>
      </c>
      <c r="P23" s="145">
        <v>46154</v>
      </c>
      <c r="Q23" s="146" t="s">
        <v>72</v>
      </c>
      <c r="R23" s="153" t="str">
        <f t="shared" si="4"/>
        <v>marzo</v>
      </c>
      <c r="S23" s="145">
        <f>+A23+60</f>
        <v>46091</v>
      </c>
      <c r="T23" s="14">
        <f t="shared" si="5"/>
        <v>122</v>
      </c>
      <c r="U23" s="14" t="str">
        <f t="shared" si="6"/>
        <v>enero</v>
      </c>
    </row>
    <row r="24" spans="1:21" x14ac:dyDescent="0.25">
      <c r="A24" s="145">
        <v>46034</v>
      </c>
      <c r="B24" s="146" t="s">
        <v>68</v>
      </c>
      <c r="C24" s="147" t="s">
        <v>115</v>
      </c>
      <c r="D24" s="148" t="s">
        <v>39</v>
      </c>
      <c r="E24" s="146" t="s">
        <v>116</v>
      </c>
      <c r="F24" s="148" t="s">
        <v>117</v>
      </c>
      <c r="G24" s="149">
        <v>9624034.6799999997</v>
      </c>
      <c r="H24" s="149">
        <v>192480.69</v>
      </c>
      <c r="I24" s="149">
        <f t="shared" si="0"/>
        <v>2021047.28</v>
      </c>
      <c r="J24" s="150">
        <f t="shared" si="1"/>
        <v>239746.8599999994</v>
      </c>
      <c r="K24" s="149">
        <f t="shared" si="2"/>
        <v>11837562.649999999</v>
      </c>
      <c r="L24" s="151">
        <v>11597815.789999999</v>
      </c>
      <c r="M24" s="152">
        <f t="shared" si="3"/>
        <v>-2.025305944209721E-2</v>
      </c>
      <c r="N24" s="146" t="s">
        <v>75</v>
      </c>
      <c r="O24" s="145">
        <v>46075</v>
      </c>
      <c r="P24" s="145">
        <v>46076</v>
      </c>
      <c r="Q24" s="146" t="s">
        <v>72</v>
      </c>
      <c r="R24" s="153" t="str">
        <f t="shared" si="4"/>
        <v>febrero</v>
      </c>
      <c r="S24" s="145">
        <f>+A24+45</f>
        <v>46079</v>
      </c>
      <c r="T24" s="14">
        <f t="shared" si="5"/>
        <v>41</v>
      </c>
      <c r="U24" s="14" t="str">
        <f t="shared" si="6"/>
        <v>enero</v>
      </c>
    </row>
    <row r="25" spans="1:21" x14ac:dyDescent="0.25">
      <c r="A25" s="145">
        <v>46035</v>
      </c>
      <c r="B25" s="146" t="s">
        <v>68</v>
      </c>
      <c r="C25" s="147" t="s">
        <v>118</v>
      </c>
      <c r="D25" s="148" t="s">
        <v>38</v>
      </c>
      <c r="E25" s="146" t="s">
        <v>119</v>
      </c>
      <c r="F25" s="148" t="s">
        <v>114</v>
      </c>
      <c r="G25" s="149">
        <v>56368930.219999999</v>
      </c>
      <c r="H25" s="149">
        <v>0</v>
      </c>
      <c r="I25" s="149">
        <f t="shared" si="0"/>
        <v>11837475.35</v>
      </c>
      <c r="J25" s="150">
        <f t="shared" si="1"/>
        <v>11800177.831999987</v>
      </c>
      <c r="K25" s="149">
        <f t="shared" si="2"/>
        <v>68206405.569999993</v>
      </c>
      <c r="L25" s="151">
        <f>75210482.9-L26-L27</f>
        <v>56406227.738000005</v>
      </c>
      <c r="M25" s="152">
        <f t="shared" si="3"/>
        <v>-0.17300688598652958</v>
      </c>
      <c r="N25" s="146" t="s">
        <v>71</v>
      </c>
      <c r="O25" s="145">
        <v>46155</v>
      </c>
      <c r="P25" s="145">
        <v>46156</v>
      </c>
      <c r="Q25" s="146" t="s">
        <v>72</v>
      </c>
      <c r="R25" s="153" t="str">
        <f t="shared" si="4"/>
        <v>marzo</v>
      </c>
      <c r="S25" s="145">
        <f t="shared" ref="S25:S27" si="9">+A25+60</f>
        <v>46095</v>
      </c>
      <c r="T25" s="14">
        <f t="shared" si="5"/>
        <v>120</v>
      </c>
      <c r="U25" s="14" t="str">
        <f t="shared" si="6"/>
        <v>enero</v>
      </c>
    </row>
    <row r="26" spans="1:21" ht="13.9" customHeight="1" x14ac:dyDescent="0.25">
      <c r="A26" s="145">
        <v>46035</v>
      </c>
      <c r="B26" s="146" t="s">
        <v>68</v>
      </c>
      <c r="C26" s="147" t="s">
        <v>120</v>
      </c>
      <c r="D26" s="148" t="s">
        <v>38</v>
      </c>
      <c r="E26" s="146" t="s">
        <v>119</v>
      </c>
      <c r="F26" s="148" t="s">
        <v>114</v>
      </c>
      <c r="G26" s="149">
        <v>10007930.359999999</v>
      </c>
      <c r="H26" s="149">
        <v>0</v>
      </c>
      <c r="I26" s="149">
        <f t="shared" si="0"/>
        <v>2101665.38</v>
      </c>
      <c r="J26" s="150">
        <f t="shared" si="1"/>
        <v>1937535.3183999993</v>
      </c>
      <c r="K26" s="149">
        <f t="shared" si="2"/>
        <v>12109595.739999998</v>
      </c>
      <c r="L26" s="151">
        <f>+K26*84%</f>
        <v>10172060.421599999</v>
      </c>
      <c r="M26" s="152">
        <f t="shared" si="3"/>
        <v>-0.15999999999999992</v>
      </c>
      <c r="N26" s="146" t="s">
        <v>71</v>
      </c>
      <c r="O26" s="145">
        <v>46155</v>
      </c>
      <c r="P26" s="145">
        <v>46156</v>
      </c>
      <c r="Q26" s="146" t="s">
        <v>72</v>
      </c>
      <c r="R26" s="153" t="str">
        <f t="shared" si="4"/>
        <v>marzo</v>
      </c>
      <c r="S26" s="145">
        <f t="shared" si="9"/>
        <v>46095</v>
      </c>
      <c r="T26" s="14">
        <f t="shared" si="5"/>
        <v>120</v>
      </c>
      <c r="U26" s="14" t="str">
        <f t="shared" si="6"/>
        <v>enero</v>
      </c>
    </row>
    <row r="27" spans="1:21" x14ac:dyDescent="0.25">
      <c r="A27" s="145">
        <v>46035</v>
      </c>
      <c r="B27" s="146" t="s">
        <v>68</v>
      </c>
      <c r="C27" s="147" t="s">
        <v>121</v>
      </c>
      <c r="D27" s="148" t="s">
        <v>38</v>
      </c>
      <c r="E27" s="146" t="s">
        <v>119</v>
      </c>
      <c r="F27" s="148" t="s">
        <v>114</v>
      </c>
      <c r="G27" s="149">
        <v>8492911</v>
      </c>
      <c r="H27" s="149">
        <v>0</v>
      </c>
      <c r="I27" s="149">
        <f t="shared" si="0"/>
        <v>1783511.31</v>
      </c>
      <c r="J27" s="150">
        <f t="shared" si="1"/>
        <v>1644227.569600001</v>
      </c>
      <c r="K27" s="149">
        <f t="shared" si="2"/>
        <v>10276422.310000001</v>
      </c>
      <c r="L27" s="151">
        <f>+K27*84%</f>
        <v>8632194.7403999995</v>
      </c>
      <c r="M27" s="152">
        <f t="shared" si="3"/>
        <v>-0.16000000000000014</v>
      </c>
      <c r="N27" s="146" t="s">
        <v>71</v>
      </c>
      <c r="O27" s="145">
        <v>46155</v>
      </c>
      <c r="P27" s="145">
        <v>46156</v>
      </c>
      <c r="Q27" s="146" t="s">
        <v>72</v>
      </c>
      <c r="R27" s="153" t="str">
        <f t="shared" si="4"/>
        <v>marzo</v>
      </c>
      <c r="S27" s="145">
        <f t="shared" si="9"/>
        <v>46095</v>
      </c>
      <c r="T27" s="14">
        <f t="shared" si="5"/>
        <v>120</v>
      </c>
      <c r="U27" s="14" t="str">
        <f t="shared" si="6"/>
        <v>enero</v>
      </c>
    </row>
    <row r="28" spans="1:21" x14ac:dyDescent="0.25">
      <c r="A28" s="145">
        <v>46035</v>
      </c>
      <c r="B28" s="146" t="s">
        <v>68</v>
      </c>
      <c r="C28" s="147" t="s">
        <v>122</v>
      </c>
      <c r="D28" s="148" t="s">
        <v>123</v>
      </c>
      <c r="E28" s="146" t="s">
        <v>124</v>
      </c>
      <c r="F28" s="148" t="s">
        <v>125</v>
      </c>
      <c r="G28" s="149">
        <v>61962384.359999999</v>
      </c>
      <c r="H28" s="149">
        <v>1858871.53</v>
      </c>
      <c r="I28" s="149">
        <f t="shared" si="0"/>
        <v>13012100.720000001</v>
      </c>
      <c r="J28" s="150">
        <f t="shared" si="1"/>
        <v>1547716.2099999934</v>
      </c>
      <c r="K28" s="154">
        <f t="shared" si="2"/>
        <v>76833356.609999999</v>
      </c>
      <c r="L28" s="151">
        <v>75285640.400000006</v>
      </c>
      <c r="M28" s="152">
        <f t="shared" si="3"/>
        <v>-2.0143805741249521E-2</v>
      </c>
      <c r="N28" s="155" t="s">
        <v>75</v>
      </c>
      <c r="O28" s="145">
        <v>46055</v>
      </c>
      <c r="P28" s="145">
        <v>46055</v>
      </c>
      <c r="Q28" s="146" t="s">
        <v>72</v>
      </c>
      <c r="R28" s="153" t="str">
        <f t="shared" si="4"/>
        <v>febrero</v>
      </c>
      <c r="S28" s="145">
        <f>+A28+30</f>
        <v>46065</v>
      </c>
      <c r="T28" s="14">
        <f t="shared" si="5"/>
        <v>20</v>
      </c>
      <c r="U28" s="14" t="str">
        <f t="shared" si="6"/>
        <v>enero</v>
      </c>
    </row>
    <row r="29" spans="1:21" x14ac:dyDescent="0.25">
      <c r="A29" s="145">
        <v>46037</v>
      </c>
      <c r="B29" s="146" t="s">
        <v>68</v>
      </c>
      <c r="C29" s="147" t="s">
        <v>126</v>
      </c>
      <c r="D29" s="148" t="s">
        <v>127</v>
      </c>
      <c r="E29" s="146" t="s">
        <v>128</v>
      </c>
      <c r="F29" s="148" t="s">
        <v>129</v>
      </c>
      <c r="G29" s="149">
        <v>1123847167.55</v>
      </c>
      <c r="H29" s="149">
        <v>3371541.5</v>
      </c>
      <c r="I29" s="149">
        <f t="shared" si="0"/>
        <v>236007905.19</v>
      </c>
      <c r="J29" s="150">
        <f t="shared" si="1"/>
        <v>228139631.62000012</v>
      </c>
      <c r="K29" s="149">
        <f t="shared" si="2"/>
        <v>1363226614.24</v>
      </c>
      <c r="L29" s="151">
        <v>1135086982.6199999</v>
      </c>
      <c r="M29" s="152">
        <f>(L29/K29)-1</f>
        <v>-0.16735268313932394</v>
      </c>
      <c r="N29" s="146" t="s">
        <v>75</v>
      </c>
      <c r="O29" s="145">
        <v>46057</v>
      </c>
      <c r="P29" s="145">
        <v>46062</v>
      </c>
      <c r="Q29" s="146" t="s">
        <v>72</v>
      </c>
      <c r="R29" s="153" t="str">
        <f t="shared" si="4"/>
        <v>febrero</v>
      </c>
      <c r="S29" s="145">
        <f>+A29+30</f>
        <v>46067</v>
      </c>
      <c r="T29" s="14">
        <f t="shared" si="5"/>
        <v>20</v>
      </c>
      <c r="U29" s="14" t="str">
        <f t="shared" si="6"/>
        <v>enero</v>
      </c>
    </row>
    <row r="30" spans="1:21" x14ac:dyDescent="0.25">
      <c r="A30" s="145">
        <v>46041</v>
      </c>
      <c r="B30" s="146" t="s">
        <v>68</v>
      </c>
      <c r="C30" s="147" t="s">
        <v>130</v>
      </c>
      <c r="D30" s="148" t="s">
        <v>39</v>
      </c>
      <c r="E30" s="146" t="s">
        <v>131</v>
      </c>
      <c r="F30" s="148" t="s">
        <v>117</v>
      </c>
      <c r="G30" s="149">
        <v>188921459.72999999</v>
      </c>
      <c r="H30" s="149">
        <v>3778429.19</v>
      </c>
      <c r="I30" s="149">
        <f t="shared" si="0"/>
        <v>39673506.539999999</v>
      </c>
      <c r="J30" s="150">
        <f t="shared" si="1"/>
        <v>4722182.4899999797</v>
      </c>
      <c r="K30" s="149">
        <f t="shared" si="2"/>
        <v>232373395.45999998</v>
      </c>
      <c r="L30" s="151">
        <v>227651212.97</v>
      </c>
      <c r="M30" s="152">
        <f t="shared" ref="M30:M38" si="10">(L30/K30)-1</f>
        <v>-2.0321528119224164E-2</v>
      </c>
      <c r="N30" s="146" t="s">
        <v>75</v>
      </c>
      <c r="O30" s="145">
        <v>46086</v>
      </c>
      <c r="P30" s="145">
        <v>46086</v>
      </c>
      <c r="Q30" s="146" t="s">
        <v>72</v>
      </c>
      <c r="R30" s="153" t="str">
        <f t="shared" si="4"/>
        <v>marzo</v>
      </c>
      <c r="S30" s="145">
        <f>+A30+45</f>
        <v>46086</v>
      </c>
      <c r="T30" s="14">
        <f t="shared" si="5"/>
        <v>45</v>
      </c>
      <c r="U30" s="14" t="str">
        <f t="shared" si="6"/>
        <v>enero</v>
      </c>
    </row>
    <row r="31" spans="1:21" x14ac:dyDescent="0.25">
      <c r="A31" s="145">
        <v>46041</v>
      </c>
      <c r="B31" s="146" t="s">
        <v>68</v>
      </c>
      <c r="C31" s="147" t="s">
        <v>132</v>
      </c>
      <c r="D31" s="148" t="s">
        <v>38</v>
      </c>
      <c r="E31" s="146" t="s">
        <v>133</v>
      </c>
      <c r="F31" s="148" t="s">
        <v>114</v>
      </c>
      <c r="G31" s="149">
        <v>8140221.6799999997</v>
      </c>
      <c r="H31" s="149">
        <v>0</v>
      </c>
      <c r="I31" s="149">
        <f t="shared" si="0"/>
        <v>1709446.55</v>
      </c>
      <c r="J31" s="150">
        <f t="shared" si="1"/>
        <v>1575946.9168000007</v>
      </c>
      <c r="K31" s="149">
        <f t="shared" si="2"/>
        <v>9849668.2300000004</v>
      </c>
      <c r="L31" s="151">
        <f>+K31*84%</f>
        <v>8273721.3131999997</v>
      </c>
      <c r="M31" s="152">
        <f t="shared" si="10"/>
        <v>-0.16000000000000003</v>
      </c>
      <c r="N31" s="146" t="s">
        <v>71</v>
      </c>
      <c r="O31" s="145">
        <v>46161</v>
      </c>
      <c r="P31" s="145">
        <v>46164</v>
      </c>
      <c r="Q31" s="146" t="s">
        <v>72</v>
      </c>
      <c r="R31" s="153" t="str">
        <f t="shared" si="4"/>
        <v>marzo</v>
      </c>
      <c r="S31" s="145">
        <f t="shared" ref="S31:S34" si="11">+A31+60</f>
        <v>46101</v>
      </c>
      <c r="T31" s="14">
        <f t="shared" si="5"/>
        <v>120</v>
      </c>
      <c r="U31" s="14" t="str">
        <f t="shared" si="6"/>
        <v>enero</v>
      </c>
    </row>
    <row r="32" spans="1:21" ht="13.9" customHeight="1" x14ac:dyDescent="0.25">
      <c r="A32" s="145">
        <v>46041</v>
      </c>
      <c r="B32" s="146" t="s">
        <v>68</v>
      </c>
      <c r="C32" s="147" t="s">
        <v>134</v>
      </c>
      <c r="D32" s="148" t="s">
        <v>38</v>
      </c>
      <c r="E32" s="146" t="s">
        <v>135</v>
      </c>
      <c r="F32" s="148" t="s">
        <v>114</v>
      </c>
      <c r="G32" s="149">
        <v>8277754.3700000001</v>
      </c>
      <c r="H32" s="149">
        <v>0</v>
      </c>
      <c r="I32" s="149">
        <f t="shared" si="0"/>
        <v>1738328.42</v>
      </c>
      <c r="J32" s="150">
        <f t="shared" si="1"/>
        <v>1691230.3031999981</v>
      </c>
      <c r="K32" s="149">
        <f t="shared" si="2"/>
        <v>10016082.789999999</v>
      </c>
      <c r="L32" s="151">
        <f>16598573.8-L31</f>
        <v>8324852.486800001</v>
      </c>
      <c r="M32" s="152">
        <f t="shared" si="10"/>
        <v>-0.16885147004660472</v>
      </c>
      <c r="N32" s="146" t="s">
        <v>71</v>
      </c>
      <c r="O32" s="145">
        <v>46161</v>
      </c>
      <c r="P32" s="145">
        <v>46164</v>
      </c>
      <c r="Q32" s="146" t="s">
        <v>72</v>
      </c>
      <c r="R32" s="153" t="str">
        <f t="shared" si="4"/>
        <v>marzo</v>
      </c>
      <c r="S32" s="145">
        <f t="shared" si="11"/>
        <v>46101</v>
      </c>
      <c r="T32" s="14">
        <f t="shared" si="5"/>
        <v>120</v>
      </c>
      <c r="U32" s="14" t="str">
        <f t="shared" si="6"/>
        <v>enero</v>
      </c>
    </row>
    <row r="33" spans="1:21" x14ac:dyDescent="0.25">
      <c r="A33" s="145">
        <v>46041</v>
      </c>
      <c r="B33" s="146" t="s">
        <v>68</v>
      </c>
      <c r="C33" s="147" t="s">
        <v>136</v>
      </c>
      <c r="D33" s="148" t="s">
        <v>38</v>
      </c>
      <c r="E33" s="146" t="s">
        <v>137</v>
      </c>
      <c r="F33" s="148" t="s">
        <v>114</v>
      </c>
      <c r="G33" s="149">
        <v>19029822.219999999</v>
      </c>
      <c r="H33" s="149">
        <v>0</v>
      </c>
      <c r="I33" s="149">
        <f t="shared" si="0"/>
        <v>3996262.67</v>
      </c>
      <c r="J33" s="150">
        <f t="shared" si="1"/>
        <v>3786934.6099999994</v>
      </c>
      <c r="K33" s="149">
        <f t="shared" si="2"/>
        <v>23026084.890000001</v>
      </c>
      <c r="L33" s="151">
        <v>19239150.280000001</v>
      </c>
      <c r="M33" s="152">
        <f t="shared" si="10"/>
        <v>-0.16446280937862034</v>
      </c>
      <c r="N33" s="146" t="s">
        <v>71</v>
      </c>
      <c r="O33" s="145">
        <v>46161</v>
      </c>
      <c r="P33" s="145">
        <v>46164</v>
      </c>
      <c r="Q33" s="146" t="s">
        <v>72</v>
      </c>
      <c r="R33" s="153" t="str">
        <f t="shared" si="4"/>
        <v>marzo</v>
      </c>
      <c r="S33" s="145">
        <f t="shared" si="11"/>
        <v>46101</v>
      </c>
      <c r="T33" s="14">
        <f t="shared" si="5"/>
        <v>120</v>
      </c>
      <c r="U33" s="14" t="str">
        <f t="shared" si="6"/>
        <v>enero</v>
      </c>
    </row>
    <row r="34" spans="1:21" x14ac:dyDescent="0.25">
      <c r="A34" s="145">
        <v>46042</v>
      </c>
      <c r="B34" s="146" t="s">
        <v>68</v>
      </c>
      <c r="C34" s="147" t="s">
        <v>138</v>
      </c>
      <c r="D34" s="148" t="s">
        <v>37</v>
      </c>
      <c r="E34" s="146" t="s">
        <v>139</v>
      </c>
      <c r="F34" s="148" t="s">
        <v>102</v>
      </c>
      <c r="G34" s="149">
        <v>150000</v>
      </c>
      <c r="H34" s="149">
        <v>7500</v>
      </c>
      <c r="I34" s="149">
        <f t="shared" si="0"/>
        <v>31500</v>
      </c>
      <c r="J34" s="150">
        <f t="shared" si="1"/>
        <v>3780</v>
      </c>
      <c r="K34" s="154">
        <f t="shared" si="2"/>
        <v>189000</v>
      </c>
      <c r="L34" s="151">
        <f>+K34*98%</f>
        <v>185220</v>
      </c>
      <c r="M34" s="152">
        <f t="shared" si="10"/>
        <v>-2.0000000000000018E-2</v>
      </c>
      <c r="N34" s="146" t="s">
        <v>75</v>
      </c>
      <c r="O34" s="145">
        <v>46090</v>
      </c>
      <c r="P34" s="145">
        <v>46090</v>
      </c>
      <c r="Q34" s="146" t="s">
        <v>72</v>
      </c>
      <c r="R34" s="153" t="str">
        <f t="shared" si="4"/>
        <v>marzo</v>
      </c>
      <c r="S34" s="145">
        <f t="shared" si="11"/>
        <v>46102</v>
      </c>
      <c r="T34" s="14">
        <f t="shared" si="5"/>
        <v>48</v>
      </c>
      <c r="U34" s="14" t="str">
        <f t="shared" si="6"/>
        <v>enero</v>
      </c>
    </row>
    <row r="35" spans="1:21" x14ac:dyDescent="0.25">
      <c r="A35" s="145">
        <v>46044</v>
      </c>
      <c r="B35" s="146" t="s">
        <v>140</v>
      </c>
      <c r="C35" s="147" t="s">
        <v>141</v>
      </c>
      <c r="D35" s="156" t="s">
        <v>96</v>
      </c>
      <c r="E35" s="146" t="s">
        <v>142</v>
      </c>
      <c r="F35" s="148" t="s">
        <v>97</v>
      </c>
      <c r="G35" s="149">
        <v>-3182939.76</v>
      </c>
      <c r="H35" s="149">
        <v>-159146.99</v>
      </c>
      <c r="I35" s="149">
        <f t="shared" si="0"/>
        <v>-668417.35</v>
      </c>
      <c r="J35" s="150">
        <f t="shared" si="1"/>
        <v>-4010504.1</v>
      </c>
      <c r="K35" s="149">
        <f t="shared" si="2"/>
        <v>-4010504.1</v>
      </c>
      <c r="L35" s="151">
        <v>0</v>
      </c>
      <c r="M35" s="152">
        <f t="shared" si="10"/>
        <v>-1</v>
      </c>
      <c r="N35" s="146" t="s">
        <v>143</v>
      </c>
      <c r="O35" s="145" t="s">
        <v>143</v>
      </c>
      <c r="P35" s="145" t="s">
        <v>143</v>
      </c>
      <c r="Q35" s="145" t="s">
        <v>143</v>
      </c>
      <c r="R35" s="153" t="str">
        <f t="shared" si="4"/>
        <v>febrero</v>
      </c>
      <c r="S35" s="145">
        <f>+A35+30</f>
        <v>46074</v>
      </c>
      <c r="T35" s="14" t="s">
        <v>143</v>
      </c>
      <c r="U35" s="14" t="str">
        <f t="shared" si="6"/>
        <v>enero</v>
      </c>
    </row>
    <row r="36" spans="1:21" x14ac:dyDescent="0.25">
      <c r="A36" s="145">
        <v>46045</v>
      </c>
      <c r="B36" s="146" t="s">
        <v>68</v>
      </c>
      <c r="C36" s="147" t="s">
        <v>144</v>
      </c>
      <c r="D36" s="148" t="s">
        <v>123</v>
      </c>
      <c r="E36" s="146" t="s">
        <v>145</v>
      </c>
      <c r="F36" s="148" t="s">
        <v>125</v>
      </c>
      <c r="G36" s="149">
        <v>2110661</v>
      </c>
      <c r="H36" s="149">
        <v>63319.83</v>
      </c>
      <c r="I36" s="149">
        <f t="shared" si="0"/>
        <v>443238.81</v>
      </c>
      <c r="J36" s="150">
        <f t="shared" si="1"/>
        <v>52766.530000000261</v>
      </c>
      <c r="K36" s="154">
        <f t="shared" si="2"/>
        <v>2617219.64</v>
      </c>
      <c r="L36" s="151">
        <v>2564453.11</v>
      </c>
      <c r="M36" s="152">
        <f t="shared" si="10"/>
        <v>-2.0161292233005002E-2</v>
      </c>
      <c r="N36" s="155" t="s">
        <v>75</v>
      </c>
      <c r="O36" s="145">
        <v>46065</v>
      </c>
      <c r="P36" s="145">
        <v>46065</v>
      </c>
      <c r="Q36" s="146" t="s">
        <v>72</v>
      </c>
      <c r="R36" s="153" t="str">
        <f t="shared" si="4"/>
        <v>febrero</v>
      </c>
      <c r="S36" s="145">
        <f>+A36+30</f>
        <v>46075</v>
      </c>
      <c r="T36" s="14">
        <f t="shared" si="5"/>
        <v>20</v>
      </c>
      <c r="U36" s="14" t="str">
        <f t="shared" si="6"/>
        <v>enero</v>
      </c>
    </row>
    <row r="37" spans="1:21" ht="15" customHeight="1" x14ac:dyDescent="0.25">
      <c r="A37" s="145">
        <v>46045</v>
      </c>
      <c r="B37" s="146" t="s">
        <v>140</v>
      </c>
      <c r="C37" s="147" t="s">
        <v>146</v>
      </c>
      <c r="D37" s="148" t="s">
        <v>38</v>
      </c>
      <c r="E37" s="146" t="s">
        <v>147</v>
      </c>
      <c r="F37" s="148" t="s">
        <v>114</v>
      </c>
      <c r="G37" s="149">
        <v>-8140221.6799999997</v>
      </c>
      <c r="H37" s="149">
        <v>0</v>
      </c>
      <c r="I37" s="149">
        <f t="shared" si="0"/>
        <v>-1709446.55</v>
      </c>
      <c r="J37" s="150">
        <f t="shared" si="1"/>
        <v>-9849668.2300000004</v>
      </c>
      <c r="K37" s="149">
        <f t="shared" si="2"/>
        <v>-9849668.2300000004</v>
      </c>
      <c r="L37" s="151">
        <v>0</v>
      </c>
      <c r="M37" s="152">
        <v>-1</v>
      </c>
      <c r="N37" s="146" t="s">
        <v>143</v>
      </c>
      <c r="O37" s="145" t="s">
        <v>143</v>
      </c>
      <c r="P37" s="145" t="s">
        <v>143</v>
      </c>
      <c r="Q37" s="146" t="s">
        <v>143</v>
      </c>
      <c r="R37" s="153" t="str">
        <f t="shared" si="4"/>
        <v>marzo</v>
      </c>
      <c r="S37" s="145">
        <f>+A37+60</f>
        <v>46105</v>
      </c>
      <c r="T37" s="14" t="s">
        <v>143</v>
      </c>
      <c r="U37" s="14" t="str">
        <f t="shared" si="6"/>
        <v>enero</v>
      </c>
    </row>
    <row r="38" spans="1:21" x14ac:dyDescent="0.25">
      <c r="A38" s="145">
        <v>46048</v>
      </c>
      <c r="B38" s="146" t="s">
        <v>68</v>
      </c>
      <c r="C38" s="147" t="s">
        <v>148</v>
      </c>
      <c r="D38" s="148" t="s">
        <v>40</v>
      </c>
      <c r="E38" s="146" t="s">
        <v>81</v>
      </c>
      <c r="F38" s="148" t="s">
        <v>149</v>
      </c>
      <c r="G38" s="149">
        <v>18245322.18</v>
      </c>
      <c r="H38" s="149">
        <v>319293.14</v>
      </c>
      <c r="I38" s="149">
        <f t="shared" si="0"/>
        <v>3831517.66</v>
      </c>
      <c r="J38" s="150">
        <f t="shared" si="1"/>
        <v>461175.51999999955</v>
      </c>
      <c r="K38" s="149">
        <f t="shared" si="2"/>
        <v>22396132.98</v>
      </c>
      <c r="L38" s="151">
        <v>21934957.460000001</v>
      </c>
      <c r="M38" s="152">
        <f t="shared" si="10"/>
        <v>-2.0591747709831631E-2</v>
      </c>
      <c r="N38" s="146" t="s">
        <v>75</v>
      </c>
      <c r="O38" s="145">
        <v>46094</v>
      </c>
      <c r="P38" s="145">
        <v>46094</v>
      </c>
      <c r="Q38" s="146" t="s">
        <v>72</v>
      </c>
      <c r="R38" s="153" t="str">
        <f t="shared" si="4"/>
        <v>febrero</v>
      </c>
      <c r="S38" s="145">
        <f>+A38+30</f>
        <v>46078</v>
      </c>
      <c r="T38" s="14">
        <f t="shared" si="5"/>
        <v>46</v>
      </c>
      <c r="U38" s="14" t="str">
        <f t="shared" si="6"/>
        <v>enero</v>
      </c>
    </row>
    <row r="39" spans="1:21" x14ac:dyDescent="0.25">
      <c r="A39" s="145">
        <v>46048</v>
      </c>
      <c r="B39" s="146" t="s">
        <v>140</v>
      </c>
      <c r="C39" s="147" t="s">
        <v>150</v>
      </c>
      <c r="D39" s="148" t="s">
        <v>38</v>
      </c>
      <c r="E39" s="146" t="s">
        <v>151</v>
      </c>
      <c r="F39" s="148" t="s">
        <v>114</v>
      </c>
      <c r="G39" s="149">
        <v>-8140221.6799999997</v>
      </c>
      <c r="H39" s="149">
        <v>0</v>
      </c>
      <c r="I39" s="149">
        <f t="shared" si="0"/>
        <v>-1709446.55</v>
      </c>
      <c r="J39" s="150">
        <f t="shared" si="1"/>
        <v>-9849668.2300000004</v>
      </c>
      <c r="K39" s="149">
        <f t="shared" si="2"/>
        <v>-9849668.2300000004</v>
      </c>
      <c r="L39" s="151">
        <v>0</v>
      </c>
      <c r="M39" s="152">
        <v>-1</v>
      </c>
      <c r="N39" s="146" t="s">
        <v>143</v>
      </c>
      <c r="O39" s="145" t="s">
        <v>143</v>
      </c>
      <c r="P39" s="145" t="s">
        <v>143</v>
      </c>
      <c r="Q39" s="146" t="s">
        <v>143</v>
      </c>
      <c r="R39" s="153" t="str">
        <f t="shared" si="4"/>
        <v>marzo</v>
      </c>
      <c r="S39" s="145">
        <f t="shared" ref="S39:S41" si="12">+A39+60</f>
        <v>46108</v>
      </c>
      <c r="T39" s="14" t="s">
        <v>143</v>
      </c>
      <c r="U39" s="14" t="str">
        <f t="shared" si="6"/>
        <v>enero</v>
      </c>
    </row>
    <row r="40" spans="1:21" x14ac:dyDescent="0.25">
      <c r="A40" s="145">
        <v>46048</v>
      </c>
      <c r="B40" s="146" t="s">
        <v>140</v>
      </c>
      <c r="C40" s="147" t="s">
        <v>152</v>
      </c>
      <c r="D40" s="148" t="s">
        <v>38</v>
      </c>
      <c r="E40" s="146" t="s">
        <v>153</v>
      </c>
      <c r="F40" s="148" t="s">
        <v>114</v>
      </c>
      <c r="G40" s="149">
        <v>-19029822.219999999</v>
      </c>
      <c r="H40" s="149">
        <v>0</v>
      </c>
      <c r="I40" s="149">
        <f t="shared" si="0"/>
        <v>-3996262.67</v>
      </c>
      <c r="J40" s="150">
        <f t="shared" si="1"/>
        <v>-23026084.890000001</v>
      </c>
      <c r="K40" s="149">
        <f t="shared" si="2"/>
        <v>-23026084.890000001</v>
      </c>
      <c r="L40" s="151">
        <v>0</v>
      </c>
      <c r="M40" s="152">
        <v>-1</v>
      </c>
      <c r="N40" s="146" t="s">
        <v>143</v>
      </c>
      <c r="O40" s="145" t="s">
        <v>143</v>
      </c>
      <c r="P40" s="145" t="s">
        <v>143</v>
      </c>
      <c r="Q40" s="146" t="s">
        <v>143</v>
      </c>
      <c r="R40" s="153" t="str">
        <f t="shared" si="4"/>
        <v>marzo</v>
      </c>
      <c r="S40" s="145">
        <f t="shared" si="12"/>
        <v>46108</v>
      </c>
      <c r="T40" s="14" t="s">
        <v>143</v>
      </c>
      <c r="U40" s="14" t="str">
        <f t="shared" si="6"/>
        <v>enero</v>
      </c>
    </row>
    <row r="41" spans="1:21" x14ac:dyDescent="0.25">
      <c r="A41" s="145">
        <v>46048</v>
      </c>
      <c r="B41" s="146" t="s">
        <v>140</v>
      </c>
      <c r="C41" s="147" t="s">
        <v>154</v>
      </c>
      <c r="D41" s="148" t="s">
        <v>38</v>
      </c>
      <c r="E41" s="146" t="s">
        <v>151</v>
      </c>
      <c r="F41" s="148" t="s">
        <v>114</v>
      </c>
      <c r="G41" s="149">
        <v>-137532.69</v>
      </c>
      <c r="H41" s="149">
        <v>0</v>
      </c>
      <c r="I41" s="149">
        <f t="shared" si="0"/>
        <v>-28881.86</v>
      </c>
      <c r="J41" s="150">
        <f t="shared" si="1"/>
        <v>-166414.54999999999</v>
      </c>
      <c r="K41" s="149">
        <f t="shared" si="2"/>
        <v>-166414.54999999999</v>
      </c>
      <c r="L41" s="151">
        <v>0</v>
      </c>
      <c r="M41" s="152">
        <v>-1</v>
      </c>
      <c r="N41" s="146" t="s">
        <v>143</v>
      </c>
      <c r="O41" s="145" t="s">
        <v>143</v>
      </c>
      <c r="P41" s="145" t="s">
        <v>143</v>
      </c>
      <c r="Q41" s="146" t="s">
        <v>143</v>
      </c>
      <c r="R41" s="153" t="str">
        <f t="shared" si="4"/>
        <v>marzo</v>
      </c>
      <c r="S41" s="145">
        <f t="shared" si="12"/>
        <v>46108</v>
      </c>
      <c r="T41" s="14" t="s">
        <v>143</v>
      </c>
      <c r="U41" s="14" t="str">
        <f t="shared" si="6"/>
        <v>enero</v>
      </c>
    </row>
    <row r="42" spans="1:21" x14ac:dyDescent="0.25">
      <c r="A42" s="145">
        <v>46055</v>
      </c>
      <c r="B42" s="146" t="s">
        <v>68</v>
      </c>
      <c r="C42" s="147" t="s">
        <v>155</v>
      </c>
      <c r="D42" s="148" t="s">
        <v>32</v>
      </c>
      <c r="E42" s="146" t="s">
        <v>81</v>
      </c>
      <c r="F42" s="148" t="s">
        <v>74</v>
      </c>
      <c r="G42" s="149">
        <v>463627123.86000001</v>
      </c>
      <c r="H42" s="149">
        <v>0</v>
      </c>
      <c r="I42" s="149">
        <f t="shared" si="0"/>
        <v>97361696.010000005</v>
      </c>
      <c r="J42" s="150">
        <f t="shared" si="1"/>
        <v>92260454.25</v>
      </c>
      <c r="K42" s="149">
        <f t="shared" si="2"/>
        <v>560988819.87</v>
      </c>
      <c r="L42" s="151">
        <v>468728365.62</v>
      </c>
      <c r="M42" s="152">
        <f t="shared" ref="M42:M62" si="13">(L42/K42)-1</f>
        <v>-0.16446041522071664</v>
      </c>
      <c r="N42" s="146" t="s">
        <v>75</v>
      </c>
      <c r="O42" s="145">
        <v>46118</v>
      </c>
      <c r="P42" s="145">
        <v>46118</v>
      </c>
      <c r="Q42" s="146" t="s">
        <v>76</v>
      </c>
      <c r="R42" s="153" t="str">
        <f t="shared" si="4"/>
        <v>abril</v>
      </c>
      <c r="S42" s="145">
        <f>+A42+60</f>
        <v>46115</v>
      </c>
      <c r="T42" s="14">
        <f t="shared" si="5"/>
        <v>63</v>
      </c>
      <c r="U42" s="14" t="str">
        <f t="shared" si="6"/>
        <v>febrero</v>
      </c>
    </row>
    <row r="43" spans="1:21" x14ac:dyDescent="0.25">
      <c r="A43" s="145">
        <v>46055</v>
      </c>
      <c r="B43" s="146" t="s">
        <v>68</v>
      </c>
      <c r="C43" s="147" t="s">
        <v>156</v>
      </c>
      <c r="D43" s="148" t="s">
        <v>31</v>
      </c>
      <c r="E43" s="146" t="s">
        <v>81</v>
      </c>
      <c r="F43" s="148" t="s">
        <v>70</v>
      </c>
      <c r="G43" s="149">
        <v>52975989.509999998</v>
      </c>
      <c r="H43" s="149">
        <v>0</v>
      </c>
      <c r="I43" s="149">
        <f t="shared" si="0"/>
        <v>11124957.800000001</v>
      </c>
      <c r="J43" s="150">
        <f t="shared" si="1"/>
        <v>1111152.3800000027</v>
      </c>
      <c r="K43" s="154">
        <f t="shared" si="2"/>
        <v>64100947.310000002</v>
      </c>
      <c r="L43" s="151">
        <v>62989794.93</v>
      </c>
      <c r="M43" s="152">
        <f t="shared" si="13"/>
        <v>-1.733441433597438E-2</v>
      </c>
      <c r="N43" s="146" t="s">
        <v>71</v>
      </c>
      <c r="O43" s="145">
        <v>46118</v>
      </c>
      <c r="P43" s="145">
        <v>46119</v>
      </c>
      <c r="Q43" s="146" t="s">
        <v>72</v>
      </c>
      <c r="R43" s="153" t="str">
        <f t="shared" si="4"/>
        <v>abril</v>
      </c>
      <c r="S43" s="145">
        <f>+A43+60</f>
        <v>46115</v>
      </c>
      <c r="T43" s="14">
        <f t="shared" si="5"/>
        <v>63</v>
      </c>
      <c r="U43" s="14" t="str">
        <f t="shared" si="6"/>
        <v>febrero</v>
      </c>
    </row>
    <row r="44" spans="1:21" x14ac:dyDescent="0.25">
      <c r="A44" s="145">
        <v>46056</v>
      </c>
      <c r="B44" s="146" t="s">
        <v>68</v>
      </c>
      <c r="C44" s="147" t="s">
        <v>157</v>
      </c>
      <c r="D44" s="148" t="s">
        <v>33</v>
      </c>
      <c r="E44" s="146" t="s">
        <v>158</v>
      </c>
      <c r="F44" s="148" t="s">
        <v>82</v>
      </c>
      <c r="G44" s="149">
        <v>25893515.079999998</v>
      </c>
      <c r="H44" s="149">
        <v>336615.7</v>
      </c>
      <c r="I44" s="149">
        <f t="shared" si="0"/>
        <v>5437638.1699999999</v>
      </c>
      <c r="J44" s="150">
        <f t="shared" si="1"/>
        <v>647337.87999999523</v>
      </c>
      <c r="K44" s="154">
        <f t="shared" si="2"/>
        <v>31667768.949999996</v>
      </c>
      <c r="L44" s="151">
        <v>31020431.07</v>
      </c>
      <c r="M44" s="152">
        <f t="shared" si="13"/>
        <v>-2.0441537293709344E-2</v>
      </c>
      <c r="N44" s="146" t="s">
        <v>75</v>
      </c>
      <c r="O44" s="145">
        <v>46080</v>
      </c>
      <c r="P44" s="145">
        <v>46080</v>
      </c>
      <c r="Q44" s="146" t="s">
        <v>72</v>
      </c>
      <c r="R44" s="153" t="str">
        <f t="shared" si="4"/>
        <v>marzo</v>
      </c>
      <c r="S44" s="145">
        <f>+A44+30</f>
        <v>46086</v>
      </c>
      <c r="T44" s="14">
        <f t="shared" si="5"/>
        <v>24</v>
      </c>
      <c r="U44" s="14" t="str">
        <f t="shared" si="6"/>
        <v>febrero</v>
      </c>
    </row>
    <row r="45" spans="1:21" x14ac:dyDescent="0.25">
      <c r="A45" s="145">
        <v>46056</v>
      </c>
      <c r="B45" s="146" t="s">
        <v>68</v>
      </c>
      <c r="C45" s="147" t="s">
        <v>159</v>
      </c>
      <c r="D45" s="156" t="s">
        <v>35</v>
      </c>
      <c r="E45" s="146" t="s">
        <v>160</v>
      </c>
      <c r="F45" s="148" t="s">
        <v>89</v>
      </c>
      <c r="G45" s="149">
        <v>1569557.73</v>
      </c>
      <c r="H45" s="149">
        <v>62782.31</v>
      </c>
      <c r="I45" s="149">
        <f t="shared" si="0"/>
        <v>329607.12</v>
      </c>
      <c r="J45" s="150">
        <f t="shared" si="1"/>
        <v>39238.943200000096</v>
      </c>
      <c r="K45" s="149">
        <f t="shared" si="2"/>
        <v>1961947.1600000001</v>
      </c>
      <c r="L45" s="151">
        <f>+K45*98%</f>
        <v>1922708.2168000001</v>
      </c>
      <c r="M45" s="152">
        <f t="shared" si="13"/>
        <v>-2.0000000000000018E-2</v>
      </c>
      <c r="N45" s="153" t="s">
        <v>75</v>
      </c>
      <c r="O45" s="145">
        <v>46122</v>
      </c>
      <c r="P45" s="145">
        <v>46122</v>
      </c>
      <c r="Q45" s="153" t="s">
        <v>72</v>
      </c>
      <c r="R45" s="153" t="str">
        <f t="shared" si="4"/>
        <v>abril</v>
      </c>
      <c r="S45" s="145">
        <f t="shared" ref="S45:S51" si="14">+A45+60</f>
        <v>46116</v>
      </c>
      <c r="T45" s="14">
        <f t="shared" si="5"/>
        <v>66</v>
      </c>
      <c r="U45" s="14" t="str">
        <f t="shared" si="6"/>
        <v>febrero</v>
      </c>
    </row>
    <row r="46" spans="1:21" x14ac:dyDescent="0.25">
      <c r="A46" s="145">
        <v>46057</v>
      </c>
      <c r="B46" s="146" t="s">
        <v>68</v>
      </c>
      <c r="C46" s="147" t="s">
        <v>161</v>
      </c>
      <c r="D46" s="156" t="s">
        <v>35</v>
      </c>
      <c r="E46" s="146" t="s">
        <v>81</v>
      </c>
      <c r="F46" s="148" t="s">
        <v>89</v>
      </c>
      <c r="G46" s="149">
        <v>21994918.449999999</v>
      </c>
      <c r="H46" s="149">
        <v>879796.74</v>
      </c>
      <c r="I46" s="149">
        <f t="shared" si="0"/>
        <v>4618932.87</v>
      </c>
      <c r="J46" s="150">
        <v>27442352.779999997</v>
      </c>
      <c r="K46" s="149">
        <f t="shared" si="2"/>
        <v>27493648.059999999</v>
      </c>
      <c r="L46" s="151">
        <f>28867826.72-L45</f>
        <v>26945118.503199998</v>
      </c>
      <c r="M46" s="152">
        <f t="shared" si="13"/>
        <v>-1.9951137644700023E-2</v>
      </c>
      <c r="N46" s="153" t="s">
        <v>75</v>
      </c>
      <c r="O46" s="145">
        <v>46122</v>
      </c>
      <c r="P46" s="145">
        <v>46122</v>
      </c>
      <c r="Q46" s="153" t="s">
        <v>72</v>
      </c>
      <c r="R46" s="153" t="str">
        <f t="shared" si="4"/>
        <v>abril</v>
      </c>
      <c r="S46" s="145">
        <f t="shared" si="14"/>
        <v>46117</v>
      </c>
      <c r="T46" s="14">
        <v>-46028</v>
      </c>
      <c r="U46" s="14" t="str">
        <f t="shared" si="6"/>
        <v>febrero</v>
      </c>
    </row>
    <row r="47" spans="1:21" ht="15" customHeight="1" x14ac:dyDescent="0.25">
      <c r="A47" s="145">
        <v>46057</v>
      </c>
      <c r="B47" s="146" t="s">
        <v>68</v>
      </c>
      <c r="C47" s="147" t="s">
        <v>162</v>
      </c>
      <c r="D47" s="156" t="s">
        <v>36</v>
      </c>
      <c r="E47" s="146" t="s">
        <v>81</v>
      </c>
      <c r="F47" s="148" t="s">
        <v>91</v>
      </c>
      <c r="G47" s="149">
        <v>2253101.29</v>
      </c>
      <c r="H47" s="149">
        <v>0</v>
      </c>
      <c r="I47" s="149">
        <f t="shared" si="0"/>
        <v>473151.27</v>
      </c>
      <c r="J47" s="150">
        <v>2962003.89</v>
      </c>
      <c r="K47" s="149">
        <f t="shared" si="2"/>
        <v>2726252.56</v>
      </c>
      <c r="L47" s="151">
        <f>+K47*98%</f>
        <v>2671727.5088</v>
      </c>
      <c r="M47" s="152">
        <f t="shared" si="13"/>
        <v>-2.0000000000000018E-2</v>
      </c>
      <c r="N47" s="153" t="s">
        <v>75</v>
      </c>
      <c r="O47" s="145">
        <v>46120</v>
      </c>
      <c r="P47" s="145">
        <v>46120</v>
      </c>
      <c r="Q47" s="145" t="s">
        <v>72</v>
      </c>
      <c r="R47" s="153" t="str">
        <f t="shared" si="4"/>
        <v>abril</v>
      </c>
      <c r="S47" s="145">
        <f t="shared" si="14"/>
        <v>46117</v>
      </c>
      <c r="T47" s="14">
        <v>-46028</v>
      </c>
      <c r="U47" s="14" t="str">
        <f t="shared" si="6"/>
        <v>febrero</v>
      </c>
    </row>
    <row r="48" spans="1:21" x14ac:dyDescent="0.25">
      <c r="A48" s="145">
        <v>46058</v>
      </c>
      <c r="B48" s="146" t="s">
        <v>68</v>
      </c>
      <c r="C48" s="147" t="s">
        <v>163</v>
      </c>
      <c r="D48" s="156" t="s">
        <v>35</v>
      </c>
      <c r="E48" s="146" t="s">
        <v>81</v>
      </c>
      <c r="F48" s="148" t="s">
        <v>89</v>
      </c>
      <c r="G48" s="149">
        <v>99321463.310000002</v>
      </c>
      <c r="H48" s="149">
        <v>3972858.53</v>
      </c>
      <c r="I48" s="149">
        <f t="shared" si="0"/>
        <v>20857507.300000001</v>
      </c>
      <c r="J48" s="150">
        <v>27442352.779999997</v>
      </c>
      <c r="K48" s="149">
        <f t="shared" si="2"/>
        <v>124151829.14</v>
      </c>
      <c r="L48" s="151">
        <v>121668792.55</v>
      </c>
      <c r="M48" s="152">
        <f t="shared" si="13"/>
        <v>-2.0000000057993517E-2</v>
      </c>
      <c r="N48" s="153" t="s">
        <v>75</v>
      </c>
      <c r="O48" s="145">
        <v>46125</v>
      </c>
      <c r="P48" s="145">
        <v>46125</v>
      </c>
      <c r="Q48" s="153" t="s">
        <v>72</v>
      </c>
      <c r="R48" s="153" t="str">
        <f t="shared" si="4"/>
        <v>abril</v>
      </c>
      <c r="S48" s="145">
        <f t="shared" si="14"/>
        <v>46118</v>
      </c>
      <c r="T48" s="14">
        <v>-46028</v>
      </c>
      <c r="U48" s="14" t="str">
        <f t="shared" si="6"/>
        <v>febrero</v>
      </c>
    </row>
    <row r="49" spans="1:21" ht="13.15" customHeight="1" x14ac:dyDescent="0.25">
      <c r="A49" s="145">
        <v>46058</v>
      </c>
      <c r="B49" s="146" t="s">
        <v>68</v>
      </c>
      <c r="C49" s="147" t="s">
        <v>164</v>
      </c>
      <c r="D49" s="156" t="s">
        <v>36</v>
      </c>
      <c r="E49" s="146" t="s">
        <v>81</v>
      </c>
      <c r="F49" s="148" t="s">
        <v>91</v>
      </c>
      <c r="G49" s="149">
        <v>5966552.2400000002</v>
      </c>
      <c r="H49" s="149">
        <v>0</v>
      </c>
      <c r="I49" s="149">
        <f t="shared" si="0"/>
        <v>1252975.97</v>
      </c>
      <c r="J49" s="150">
        <v>2962003.89</v>
      </c>
      <c r="K49" s="149">
        <f t="shared" si="2"/>
        <v>7219528.21</v>
      </c>
      <c r="L49" s="151">
        <f>9782731.1-L47</f>
        <v>7111003.5911999997</v>
      </c>
      <c r="M49" s="152">
        <f t="shared" si="13"/>
        <v>-1.5032092907356409E-2</v>
      </c>
      <c r="N49" s="153" t="s">
        <v>75</v>
      </c>
      <c r="O49" s="145">
        <v>46120</v>
      </c>
      <c r="P49" s="145">
        <v>46120</v>
      </c>
      <c r="Q49" s="145" t="s">
        <v>72</v>
      </c>
      <c r="R49" s="153" t="str">
        <f t="shared" si="4"/>
        <v>abril</v>
      </c>
      <c r="S49" s="145">
        <f t="shared" si="14"/>
        <v>46118</v>
      </c>
      <c r="T49" s="14">
        <v>-46028</v>
      </c>
      <c r="U49" s="14" t="str">
        <f t="shared" si="6"/>
        <v>febrero</v>
      </c>
    </row>
    <row r="50" spans="1:21" ht="13.15" customHeight="1" x14ac:dyDescent="0.25">
      <c r="A50" s="145">
        <v>46058</v>
      </c>
      <c r="B50" s="146" t="s">
        <v>68</v>
      </c>
      <c r="C50" s="147" t="s">
        <v>165</v>
      </c>
      <c r="D50" s="148" t="s">
        <v>37</v>
      </c>
      <c r="E50" s="146" t="s">
        <v>81</v>
      </c>
      <c r="F50" s="148" t="s">
        <v>102</v>
      </c>
      <c r="G50" s="149">
        <v>24698189.960000001</v>
      </c>
      <c r="H50" s="149">
        <v>1234909.5</v>
      </c>
      <c r="I50" s="149">
        <f t="shared" si="0"/>
        <v>5186619.8899999997</v>
      </c>
      <c r="J50" s="150">
        <f t="shared" ref="J50:J68" si="15">+K50-L50</f>
        <v>614242.12679999694</v>
      </c>
      <c r="K50" s="154">
        <f t="shared" si="2"/>
        <v>31119719.350000001</v>
      </c>
      <c r="L50" s="151">
        <f>42046083.31-L51</f>
        <v>30505477.223200005</v>
      </c>
      <c r="M50" s="152">
        <f t="shared" si="13"/>
        <v>-1.9738035548832689E-2</v>
      </c>
      <c r="N50" s="146" t="s">
        <v>75</v>
      </c>
      <c r="O50" s="145">
        <v>46122</v>
      </c>
      <c r="P50" s="145">
        <v>46122</v>
      </c>
      <c r="Q50" s="146" t="s">
        <v>72</v>
      </c>
      <c r="R50" s="153" t="str">
        <f t="shared" si="4"/>
        <v>abril</v>
      </c>
      <c r="S50" s="145">
        <f t="shared" si="14"/>
        <v>46118</v>
      </c>
      <c r="T50" s="14">
        <f t="shared" ref="T50:T68" si="16">+O50-A50</f>
        <v>64</v>
      </c>
      <c r="U50" s="14" t="str">
        <f t="shared" si="6"/>
        <v>febrero</v>
      </c>
    </row>
    <row r="51" spans="1:21" x14ac:dyDescent="0.25">
      <c r="A51" s="145">
        <v>46058</v>
      </c>
      <c r="B51" s="146" t="s">
        <v>68</v>
      </c>
      <c r="C51" s="147" t="s">
        <v>166</v>
      </c>
      <c r="D51" s="148" t="s">
        <v>37</v>
      </c>
      <c r="E51" s="146" t="s">
        <v>81</v>
      </c>
      <c r="F51" s="148" t="s">
        <v>102</v>
      </c>
      <c r="G51" s="149">
        <v>9346133.8599999994</v>
      </c>
      <c r="H51" s="149">
        <v>467306.69</v>
      </c>
      <c r="I51" s="149">
        <f t="shared" si="0"/>
        <v>1962688.11</v>
      </c>
      <c r="J51" s="150">
        <f t="shared" si="15"/>
        <v>235522.57320000045</v>
      </c>
      <c r="K51" s="154">
        <f t="shared" si="2"/>
        <v>11776128.659999998</v>
      </c>
      <c r="L51" s="151">
        <f>+K51*98%</f>
        <v>11540606.086799998</v>
      </c>
      <c r="M51" s="152">
        <f t="shared" si="13"/>
        <v>-2.0000000000000018E-2</v>
      </c>
      <c r="N51" s="146" t="s">
        <v>75</v>
      </c>
      <c r="O51" s="145">
        <v>46121</v>
      </c>
      <c r="P51" s="145">
        <v>46122</v>
      </c>
      <c r="Q51" s="146" t="s">
        <v>72</v>
      </c>
      <c r="R51" s="153" t="str">
        <f t="shared" si="4"/>
        <v>abril</v>
      </c>
      <c r="S51" s="145">
        <f t="shared" si="14"/>
        <v>46118</v>
      </c>
      <c r="T51" s="14">
        <f t="shared" si="16"/>
        <v>63</v>
      </c>
      <c r="U51" s="14" t="str">
        <f t="shared" si="6"/>
        <v>febrero</v>
      </c>
    </row>
    <row r="52" spans="1:21" ht="13.15" customHeight="1" x14ac:dyDescent="0.25">
      <c r="A52" s="145">
        <v>46059</v>
      </c>
      <c r="B52" s="146" t="s">
        <v>68</v>
      </c>
      <c r="C52" s="147" t="s">
        <v>167</v>
      </c>
      <c r="D52" s="148" t="s">
        <v>78</v>
      </c>
      <c r="E52" s="146" t="s">
        <v>81</v>
      </c>
      <c r="F52" s="148" t="s">
        <v>79</v>
      </c>
      <c r="G52" s="149">
        <v>10969699.01</v>
      </c>
      <c r="H52" s="149">
        <v>0</v>
      </c>
      <c r="I52" s="149">
        <f t="shared" si="0"/>
        <v>2303636.79</v>
      </c>
      <c r="J52" s="150">
        <f t="shared" si="15"/>
        <v>272899.08999999985</v>
      </c>
      <c r="K52" s="149">
        <f t="shared" si="2"/>
        <v>13273335.800000001</v>
      </c>
      <c r="L52" s="151">
        <v>13000436.710000001</v>
      </c>
      <c r="M52" s="152">
        <f t="shared" si="13"/>
        <v>-2.0559947711109694E-2</v>
      </c>
      <c r="N52" s="155" t="s">
        <v>75</v>
      </c>
      <c r="O52" s="145">
        <v>46084</v>
      </c>
      <c r="P52" s="145">
        <v>46084</v>
      </c>
      <c r="Q52" s="146" t="s">
        <v>72</v>
      </c>
      <c r="R52" s="153" t="str">
        <f t="shared" si="4"/>
        <v>marzo</v>
      </c>
      <c r="S52" s="145">
        <f>+A52+30</f>
        <v>46089</v>
      </c>
      <c r="T52" s="14">
        <f t="shared" si="16"/>
        <v>25</v>
      </c>
      <c r="U52" s="14" t="str">
        <f t="shared" si="6"/>
        <v>febrero</v>
      </c>
    </row>
    <row r="53" spans="1:21" x14ac:dyDescent="0.25">
      <c r="A53" s="145">
        <v>46059</v>
      </c>
      <c r="B53" s="146" t="s">
        <v>68</v>
      </c>
      <c r="C53" s="147" t="s">
        <v>168</v>
      </c>
      <c r="D53" s="156" t="s">
        <v>96</v>
      </c>
      <c r="E53" s="146" t="s">
        <v>81</v>
      </c>
      <c r="F53" s="148" t="s">
        <v>97</v>
      </c>
      <c r="G53" s="149">
        <v>43858739.700000003</v>
      </c>
      <c r="H53" s="149">
        <v>2192936.9900000002</v>
      </c>
      <c r="I53" s="149">
        <f t="shared" si="0"/>
        <v>9210335.3399999999</v>
      </c>
      <c r="J53" s="150">
        <f t="shared" si="15"/>
        <v>0</v>
      </c>
      <c r="K53" s="149">
        <f t="shared" si="2"/>
        <v>55262012.030000001</v>
      </c>
      <c r="L53" s="151">
        <v>55262012.030000001</v>
      </c>
      <c r="M53" s="152">
        <f t="shared" si="13"/>
        <v>0</v>
      </c>
      <c r="N53" s="146" t="s">
        <v>75</v>
      </c>
      <c r="O53" s="145">
        <v>46087</v>
      </c>
      <c r="P53" s="145">
        <v>46087</v>
      </c>
      <c r="Q53" s="146" t="s">
        <v>72</v>
      </c>
      <c r="R53" s="153" t="str">
        <f t="shared" si="4"/>
        <v>marzo</v>
      </c>
      <c r="S53" s="145">
        <f>+A53+30</f>
        <v>46089</v>
      </c>
      <c r="T53" s="14">
        <f t="shared" si="16"/>
        <v>28</v>
      </c>
      <c r="U53" s="14" t="str">
        <f t="shared" si="6"/>
        <v>febrero</v>
      </c>
    </row>
    <row r="54" spans="1:21" x14ac:dyDescent="0.25">
      <c r="A54" s="145">
        <v>46059</v>
      </c>
      <c r="B54" s="146" t="s">
        <v>68</v>
      </c>
      <c r="C54" s="147" t="s">
        <v>169</v>
      </c>
      <c r="D54" s="156" t="s">
        <v>99</v>
      </c>
      <c r="E54" s="146" t="s">
        <v>81</v>
      </c>
      <c r="F54" s="148" t="s">
        <v>100</v>
      </c>
      <c r="G54" s="149">
        <v>10764172.08</v>
      </c>
      <c r="H54" s="149">
        <v>0</v>
      </c>
      <c r="I54" s="149">
        <f t="shared" si="0"/>
        <v>2260476.14</v>
      </c>
      <c r="J54" s="150">
        <f t="shared" si="15"/>
        <v>213940.04000000097</v>
      </c>
      <c r="K54" s="149">
        <f t="shared" si="2"/>
        <v>13024648.220000001</v>
      </c>
      <c r="L54" s="151">
        <v>12810708.18</v>
      </c>
      <c r="M54" s="152">
        <f t="shared" si="13"/>
        <v>-1.6425782592076832E-2</v>
      </c>
      <c r="N54" s="145" t="s">
        <v>75</v>
      </c>
      <c r="O54" s="145">
        <v>46079</v>
      </c>
      <c r="P54" s="145">
        <v>46079</v>
      </c>
      <c r="Q54" s="153" t="s">
        <v>72</v>
      </c>
      <c r="R54" s="153" t="str">
        <f t="shared" si="4"/>
        <v>marzo</v>
      </c>
      <c r="S54" s="145">
        <f>+A54+30</f>
        <v>46089</v>
      </c>
      <c r="T54" s="14">
        <f t="shared" si="16"/>
        <v>20</v>
      </c>
      <c r="U54" s="14" t="str">
        <f t="shared" si="6"/>
        <v>febrero</v>
      </c>
    </row>
    <row r="55" spans="1:21" x14ac:dyDescent="0.25">
      <c r="A55" s="145">
        <v>46063</v>
      </c>
      <c r="B55" s="146" t="s">
        <v>68</v>
      </c>
      <c r="C55" s="147" t="s">
        <v>170</v>
      </c>
      <c r="D55" s="148" t="s">
        <v>39</v>
      </c>
      <c r="E55" s="146" t="s">
        <v>171</v>
      </c>
      <c r="F55" s="148" t="s">
        <v>117</v>
      </c>
      <c r="G55" s="149">
        <v>45443238.840000004</v>
      </c>
      <c r="H55" s="149">
        <v>908864.78</v>
      </c>
      <c r="I55" s="149">
        <f t="shared" si="0"/>
        <v>9543080.1600000001</v>
      </c>
      <c r="J55" s="150">
        <f t="shared" si="15"/>
        <v>1117903.6755999997</v>
      </c>
      <c r="K55" s="149">
        <f t="shared" si="2"/>
        <v>55895183.780000001</v>
      </c>
      <c r="L55" s="151">
        <f>+K55*98%</f>
        <v>54777280.104400001</v>
      </c>
      <c r="M55" s="152">
        <f t="shared" si="13"/>
        <v>-2.0000000000000018E-2</v>
      </c>
      <c r="N55" s="146" t="s">
        <v>75</v>
      </c>
      <c r="O55" s="145">
        <v>46103</v>
      </c>
      <c r="P55" s="145">
        <v>46101</v>
      </c>
      <c r="Q55" s="146" t="s">
        <v>72</v>
      </c>
      <c r="R55" s="153" t="str">
        <f t="shared" si="4"/>
        <v>marzo</v>
      </c>
      <c r="S55" s="145">
        <f>+A55+45</f>
        <v>46108</v>
      </c>
      <c r="T55" s="14">
        <f t="shared" si="16"/>
        <v>40</v>
      </c>
      <c r="U55" s="14" t="str">
        <f t="shared" si="6"/>
        <v>febrero</v>
      </c>
    </row>
    <row r="56" spans="1:21" x14ac:dyDescent="0.25">
      <c r="A56" s="145">
        <v>46063</v>
      </c>
      <c r="B56" s="146" t="s">
        <v>68</v>
      </c>
      <c r="C56" s="147" t="s">
        <v>172</v>
      </c>
      <c r="D56" s="148" t="s">
        <v>39</v>
      </c>
      <c r="E56" s="146" t="s">
        <v>173</v>
      </c>
      <c r="F56" s="148" t="s">
        <v>117</v>
      </c>
      <c r="G56" s="149">
        <v>229885076.94999999</v>
      </c>
      <c r="H56" s="149">
        <v>4597701.54</v>
      </c>
      <c r="I56" s="149">
        <f t="shared" si="0"/>
        <v>48275866.159999996</v>
      </c>
      <c r="J56" s="150">
        <f t="shared" si="15"/>
        <v>5776515.8573999405</v>
      </c>
      <c r="K56" s="149">
        <f t="shared" si="2"/>
        <v>282758644.64999998</v>
      </c>
      <c r="L56" s="151">
        <f>365545680.01-L55-L57-L60</f>
        <v>276982128.79260004</v>
      </c>
      <c r="M56" s="152">
        <f t="shared" si="13"/>
        <v>-2.0429139715781752E-2</v>
      </c>
      <c r="N56" s="146" t="s">
        <v>75</v>
      </c>
      <c r="O56" s="145">
        <v>46103</v>
      </c>
      <c r="P56" s="145">
        <v>46101</v>
      </c>
      <c r="Q56" s="146" t="s">
        <v>72</v>
      </c>
      <c r="R56" s="153" t="str">
        <f t="shared" si="4"/>
        <v>marzo</v>
      </c>
      <c r="S56" s="145">
        <f>+A56+45</f>
        <v>46108</v>
      </c>
      <c r="T56" s="14">
        <f t="shared" si="16"/>
        <v>40</v>
      </c>
      <c r="U56" s="14" t="str">
        <f t="shared" si="6"/>
        <v>febrero</v>
      </c>
    </row>
    <row r="57" spans="1:21" ht="15" customHeight="1" x14ac:dyDescent="0.25">
      <c r="A57" s="145">
        <v>46063</v>
      </c>
      <c r="B57" s="146" t="s">
        <v>68</v>
      </c>
      <c r="C57" s="147" t="s">
        <v>174</v>
      </c>
      <c r="D57" s="148" t="s">
        <v>39</v>
      </c>
      <c r="E57" s="146" t="s">
        <v>175</v>
      </c>
      <c r="F57" s="148" t="s">
        <v>117</v>
      </c>
      <c r="G57" s="149">
        <v>20401920</v>
      </c>
      <c r="H57" s="149">
        <v>408038.40000000002</v>
      </c>
      <c r="I57" s="149">
        <f t="shared" si="0"/>
        <v>4284403.2</v>
      </c>
      <c r="J57" s="150">
        <f t="shared" si="15"/>
        <v>501887.23200000077</v>
      </c>
      <c r="K57" s="149">
        <f t="shared" si="2"/>
        <v>25094361.599999998</v>
      </c>
      <c r="L57" s="151">
        <f>+K57*98%</f>
        <v>24592474.367999997</v>
      </c>
      <c r="M57" s="152">
        <f t="shared" si="13"/>
        <v>-2.0000000000000018E-2</v>
      </c>
      <c r="N57" s="146" t="s">
        <v>75</v>
      </c>
      <c r="O57" s="145">
        <v>46103</v>
      </c>
      <c r="P57" s="145">
        <v>46101</v>
      </c>
      <c r="Q57" s="146" t="s">
        <v>72</v>
      </c>
      <c r="R57" s="153" t="str">
        <f t="shared" si="4"/>
        <v>marzo</v>
      </c>
      <c r="S57" s="145">
        <f>+A57+45</f>
        <v>46108</v>
      </c>
      <c r="T57" s="14">
        <f t="shared" si="16"/>
        <v>40</v>
      </c>
      <c r="U57" s="14" t="str">
        <f t="shared" si="6"/>
        <v>febrero</v>
      </c>
    </row>
    <row r="58" spans="1:21" x14ac:dyDescent="0.25">
      <c r="A58" s="145">
        <v>46063</v>
      </c>
      <c r="B58" s="146" t="s">
        <v>68</v>
      </c>
      <c r="C58" s="147" t="s">
        <v>176</v>
      </c>
      <c r="D58" s="148" t="s">
        <v>38</v>
      </c>
      <c r="E58" s="146" t="s">
        <v>177</v>
      </c>
      <c r="F58" s="148" t="s">
        <v>114</v>
      </c>
      <c r="G58" s="149">
        <v>58702985.93</v>
      </c>
      <c r="H58" s="149">
        <v>0</v>
      </c>
      <c r="I58" s="149">
        <f>ROUND(((+G58*21%)-0.01),2)</f>
        <v>12327627.039999999</v>
      </c>
      <c r="J58" s="150">
        <f t="shared" si="15"/>
        <v>12075204.204900004</v>
      </c>
      <c r="K58" s="149">
        <f t="shared" si="2"/>
        <v>71030612.969999999</v>
      </c>
      <c r="L58" s="151">
        <f>+K58*83%</f>
        <v>58955408.765099995</v>
      </c>
      <c r="M58" s="152">
        <f t="shared" si="13"/>
        <v>-0.17000000000000004</v>
      </c>
      <c r="N58" s="146" t="s">
        <v>71</v>
      </c>
      <c r="O58" s="145">
        <v>46183</v>
      </c>
      <c r="P58" s="145">
        <v>46184</v>
      </c>
      <c r="Q58" s="146" t="s">
        <v>72</v>
      </c>
      <c r="R58" s="153" t="str">
        <f t="shared" si="4"/>
        <v>abril</v>
      </c>
      <c r="S58" s="145">
        <f t="shared" ref="S58:S59" si="17">+A58+60</f>
        <v>46123</v>
      </c>
      <c r="T58" s="14">
        <f t="shared" si="16"/>
        <v>120</v>
      </c>
      <c r="U58" s="14" t="str">
        <f t="shared" si="6"/>
        <v>febrero</v>
      </c>
    </row>
    <row r="59" spans="1:21" ht="13.9" customHeight="1" x14ac:dyDescent="0.25">
      <c r="A59" s="145">
        <v>46063</v>
      </c>
      <c r="B59" s="146" t="s">
        <v>68</v>
      </c>
      <c r="C59" s="147" t="s">
        <v>178</v>
      </c>
      <c r="D59" s="148" t="s">
        <v>38</v>
      </c>
      <c r="E59" s="146" t="s">
        <v>177</v>
      </c>
      <c r="F59" s="148" t="s">
        <v>114</v>
      </c>
      <c r="G59" s="149">
        <v>14120923.43</v>
      </c>
      <c r="H59" s="149">
        <v>0</v>
      </c>
      <c r="I59" s="149">
        <f t="shared" ref="I59:I122" si="18">ROUND((+G59*21%),2)</f>
        <v>2965393.92</v>
      </c>
      <c r="J59" s="150">
        <f t="shared" si="15"/>
        <v>2415410.355099991</v>
      </c>
      <c r="K59" s="149">
        <f t="shared" si="2"/>
        <v>17086317.350000001</v>
      </c>
      <c r="L59" s="151">
        <f>73626315.76-L58</f>
        <v>14670906.994900011</v>
      </c>
      <c r="M59" s="152">
        <f t="shared" si="13"/>
        <v>-0.1413651816024587</v>
      </c>
      <c r="N59" s="146" t="s">
        <v>71</v>
      </c>
      <c r="O59" s="145">
        <v>46183</v>
      </c>
      <c r="P59" s="145">
        <v>46184</v>
      </c>
      <c r="Q59" s="146" t="s">
        <v>72</v>
      </c>
      <c r="R59" s="153" t="str">
        <f t="shared" si="4"/>
        <v>abril</v>
      </c>
      <c r="S59" s="145">
        <f t="shared" si="17"/>
        <v>46123</v>
      </c>
      <c r="T59" s="14">
        <f t="shared" si="16"/>
        <v>120</v>
      </c>
      <c r="U59" s="14" t="str">
        <f t="shared" si="6"/>
        <v>febrero</v>
      </c>
    </row>
    <row r="60" spans="1:21" ht="13.9" customHeight="1" x14ac:dyDescent="0.25">
      <c r="A60" s="145">
        <v>46063</v>
      </c>
      <c r="B60" s="146" t="s">
        <v>68</v>
      </c>
      <c r="C60" s="147" t="s">
        <v>179</v>
      </c>
      <c r="D60" s="148" t="s">
        <v>39</v>
      </c>
      <c r="E60" s="146" t="s">
        <v>180</v>
      </c>
      <c r="F60" s="148" t="s">
        <v>117</v>
      </c>
      <c r="G60" s="149">
        <v>7627175</v>
      </c>
      <c r="H60" s="149">
        <v>152543.5</v>
      </c>
      <c r="I60" s="149">
        <f t="shared" si="18"/>
        <v>1601706.75</v>
      </c>
      <c r="J60" s="150">
        <f t="shared" si="15"/>
        <v>187628.50500000082</v>
      </c>
      <c r="K60" s="149">
        <f t="shared" si="2"/>
        <v>9381425.25</v>
      </c>
      <c r="L60" s="151">
        <f>+K60*98%</f>
        <v>9193796.7449999992</v>
      </c>
      <c r="M60" s="152">
        <f t="shared" si="13"/>
        <v>-2.0000000000000129E-2</v>
      </c>
      <c r="N60" s="146" t="s">
        <v>75</v>
      </c>
      <c r="O60" s="145">
        <v>46103</v>
      </c>
      <c r="P60" s="145">
        <v>46101</v>
      </c>
      <c r="Q60" s="146" t="s">
        <v>72</v>
      </c>
      <c r="R60" s="153" t="str">
        <f t="shared" si="4"/>
        <v>marzo</v>
      </c>
      <c r="S60" s="145">
        <f>+A60+45</f>
        <v>46108</v>
      </c>
      <c r="T60" s="14">
        <f t="shared" si="16"/>
        <v>40</v>
      </c>
      <c r="U60" s="14" t="str">
        <f t="shared" si="6"/>
        <v>febrero</v>
      </c>
    </row>
    <row r="61" spans="1:21" ht="13.9" customHeight="1" x14ac:dyDescent="0.25">
      <c r="A61" s="145">
        <v>46073</v>
      </c>
      <c r="B61" s="146" t="s">
        <v>68</v>
      </c>
      <c r="C61" s="147" t="s">
        <v>181</v>
      </c>
      <c r="D61" s="148" t="s">
        <v>34</v>
      </c>
      <c r="E61" s="146" t="s">
        <v>81</v>
      </c>
      <c r="F61" s="148" t="s">
        <v>87</v>
      </c>
      <c r="G61" s="149">
        <v>18896930.260000002</v>
      </c>
      <c r="H61" s="149">
        <v>0</v>
      </c>
      <c r="I61" s="149">
        <f t="shared" si="18"/>
        <v>3968355.35</v>
      </c>
      <c r="J61" s="150">
        <f t="shared" si="15"/>
        <v>3759145.7200000025</v>
      </c>
      <c r="K61" s="149">
        <f t="shared" si="2"/>
        <v>22865285.610000003</v>
      </c>
      <c r="L61" s="151">
        <v>19106139.890000001</v>
      </c>
      <c r="M61" s="152">
        <f t="shared" si="13"/>
        <v>-0.16440405705476779</v>
      </c>
      <c r="N61" s="146" t="s">
        <v>71</v>
      </c>
      <c r="O61" s="145">
        <v>46108</v>
      </c>
      <c r="P61" s="145">
        <v>46111</v>
      </c>
      <c r="Q61" s="146" t="s">
        <v>72</v>
      </c>
      <c r="R61" s="153" t="str">
        <f t="shared" si="4"/>
        <v>marzo</v>
      </c>
      <c r="S61" s="145">
        <f>+A61+30</f>
        <v>46103</v>
      </c>
      <c r="T61" s="14">
        <f t="shared" si="16"/>
        <v>35</v>
      </c>
      <c r="U61" s="14" t="str">
        <f t="shared" si="6"/>
        <v>febrero</v>
      </c>
    </row>
    <row r="62" spans="1:21" x14ac:dyDescent="0.25">
      <c r="A62" s="145">
        <v>46073</v>
      </c>
      <c r="B62" s="146" t="s">
        <v>68</v>
      </c>
      <c r="C62" s="147" t="s">
        <v>182</v>
      </c>
      <c r="D62" s="148" t="s">
        <v>38</v>
      </c>
      <c r="E62" s="146" t="s">
        <v>183</v>
      </c>
      <c r="F62" s="148" t="s">
        <v>114</v>
      </c>
      <c r="G62" s="149">
        <v>80852117.219999999</v>
      </c>
      <c r="H62" s="149">
        <v>0</v>
      </c>
      <c r="I62" s="149">
        <f t="shared" si="18"/>
        <v>16978944.620000001</v>
      </c>
      <c r="J62" s="150">
        <f t="shared" si="15"/>
        <v>17798544.969999999</v>
      </c>
      <c r="K62" s="149">
        <f t="shared" si="2"/>
        <v>97831061.840000004</v>
      </c>
      <c r="L62" s="151">
        <v>80032516.870000005</v>
      </c>
      <c r="M62" s="152">
        <f t="shared" si="13"/>
        <v>-0.18193142990831512</v>
      </c>
      <c r="N62" s="146" t="s">
        <v>71</v>
      </c>
      <c r="O62" s="145">
        <v>46195</v>
      </c>
      <c r="P62" s="145">
        <v>46198</v>
      </c>
      <c r="Q62" s="146" t="s">
        <v>72</v>
      </c>
      <c r="R62" s="153" t="str">
        <f t="shared" si="4"/>
        <v>abril</v>
      </c>
      <c r="S62" s="145">
        <f>+A62+60</f>
        <v>46133</v>
      </c>
      <c r="T62" s="14">
        <f t="shared" si="16"/>
        <v>122</v>
      </c>
      <c r="U62" s="14" t="str">
        <f t="shared" si="6"/>
        <v>febrero</v>
      </c>
    </row>
    <row r="63" spans="1:21" x14ac:dyDescent="0.25">
      <c r="A63" s="145">
        <v>46076</v>
      </c>
      <c r="B63" s="146" t="s">
        <v>68</v>
      </c>
      <c r="C63" s="147" t="s">
        <v>184</v>
      </c>
      <c r="D63" s="148" t="s">
        <v>127</v>
      </c>
      <c r="E63" s="146" t="s">
        <v>185</v>
      </c>
      <c r="F63" s="148" t="s">
        <v>129</v>
      </c>
      <c r="G63" s="149">
        <v>1022109208.9299999</v>
      </c>
      <c r="H63" s="149">
        <v>3066327.63</v>
      </c>
      <c r="I63" s="149">
        <f t="shared" si="18"/>
        <v>214642933.88</v>
      </c>
      <c r="J63" s="150">
        <f t="shared" si="15"/>
        <v>207486826.01000011</v>
      </c>
      <c r="K63" s="149">
        <f t="shared" si="2"/>
        <v>1239818470.4400001</v>
      </c>
      <c r="L63" s="151">
        <v>1032331644.4299999</v>
      </c>
      <c r="M63" s="152">
        <f>(L63/K63)-1</f>
        <v>-0.16735258504123185</v>
      </c>
      <c r="N63" s="146" t="s">
        <v>75</v>
      </c>
      <c r="O63" s="145">
        <v>46083</v>
      </c>
      <c r="P63" s="145">
        <v>46083</v>
      </c>
      <c r="Q63" s="146" t="s">
        <v>72</v>
      </c>
      <c r="R63" s="153" t="str">
        <f t="shared" si="4"/>
        <v>marzo</v>
      </c>
      <c r="S63" s="145">
        <f>+A63+30</f>
        <v>46106</v>
      </c>
      <c r="T63" s="14">
        <f t="shared" si="16"/>
        <v>7</v>
      </c>
      <c r="U63" s="14" t="str">
        <f t="shared" si="6"/>
        <v>febrero</v>
      </c>
    </row>
    <row r="64" spans="1:21" ht="13.9" customHeight="1" x14ac:dyDescent="0.25">
      <c r="A64" s="145">
        <v>46081</v>
      </c>
      <c r="B64" s="146" t="s">
        <v>68</v>
      </c>
      <c r="C64" s="147" t="s">
        <v>186</v>
      </c>
      <c r="D64" s="148" t="s">
        <v>40</v>
      </c>
      <c r="E64" s="146" t="s">
        <v>158</v>
      </c>
      <c r="F64" s="148" t="s">
        <v>149</v>
      </c>
      <c r="G64" s="149">
        <v>12330526.550000001</v>
      </c>
      <c r="H64" s="149">
        <v>215784.21</v>
      </c>
      <c r="I64" s="149">
        <f t="shared" si="18"/>
        <v>2589410.58</v>
      </c>
      <c r="J64" s="150">
        <f t="shared" si="15"/>
        <v>311235.45000000112</v>
      </c>
      <c r="K64" s="149">
        <f t="shared" si="2"/>
        <v>15135721.340000002</v>
      </c>
      <c r="L64" s="151">
        <v>14824485.890000001</v>
      </c>
      <c r="M64" s="152">
        <f t="shared" ref="M64:M82" si="19">(L64/K64)-1</f>
        <v>-2.0562974370932796E-2</v>
      </c>
      <c r="N64" s="146" t="s">
        <v>75</v>
      </c>
      <c r="O64" s="145">
        <v>46111</v>
      </c>
      <c r="P64" s="145">
        <v>46150</v>
      </c>
      <c r="Q64" s="146" t="s">
        <v>72</v>
      </c>
      <c r="R64" s="153" t="str">
        <f t="shared" si="4"/>
        <v>marzo</v>
      </c>
      <c r="S64" s="145">
        <f>+A64+30</f>
        <v>46111</v>
      </c>
      <c r="T64" s="14">
        <f t="shared" si="16"/>
        <v>30</v>
      </c>
      <c r="U64" s="14" t="str">
        <f t="shared" si="6"/>
        <v>febrero</v>
      </c>
    </row>
    <row r="65" spans="1:21" ht="13.9" customHeight="1" x14ac:dyDescent="0.25">
      <c r="A65" s="145">
        <v>46083</v>
      </c>
      <c r="B65" s="146" t="s">
        <v>68</v>
      </c>
      <c r="C65" s="147" t="s">
        <v>187</v>
      </c>
      <c r="D65" s="148" t="s">
        <v>32</v>
      </c>
      <c r="E65" s="146" t="s">
        <v>158</v>
      </c>
      <c r="F65" s="148" t="s">
        <v>74</v>
      </c>
      <c r="G65" s="149">
        <v>456346711.91000003</v>
      </c>
      <c r="H65" s="149">
        <v>0</v>
      </c>
      <c r="I65" s="149">
        <f t="shared" si="18"/>
        <v>95832809.5</v>
      </c>
      <c r="J65" s="150">
        <f t="shared" si="15"/>
        <v>90811652.2700001</v>
      </c>
      <c r="K65" s="149">
        <f t="shared" si="2"/>
        <v>552179521.41000009</v>
      </c>
      <c r="L65" s="151">
        <v>461367869.13999999</v>
      </c>
      <c r="M65" s="152">
        <f t="shared" si="19"/>
        <v>-0.16446037701309701</v>
      </c>
      <c r="N65" s="146" t="s">
        <v>75</v>
      </c>
      <c r="O65" s="145">
        <v>46150</v>
      </c>
      <c r="P65" s="145">
        <v>46150</v>
      </c>
      <c r="Q65" s="146" t="s">
        <v>76</v>
      </c>
      <c r="R65" s="153" t="str">
        <f t="shared" si="4"/>
        <v>mayo</v>
      </c>
      <c r="S65" s="145">
        <f>+A65+60</f>
        <v>46143</v>
      </c>
      <c r="T65" s="14">
        <f t="shared" si="16"/>
        <v>67</v>
      </c>
      <c r="U65" s="14" t="str">
        <f t="shared" si="6"/>
        <v>marzo</v>
      </c>
    </row>
    <row r="66" spans="1:21" ht="13.9" customHeight="1" x14ac:dyDescent="0.25">
      <c r="A66" s="145">
        <v>46083</v>
      </c>
      <c r="B66" s="146" t="s">
        <v>68</v>
      </c>
      <c r="C66" s="147" t="s">
        <v>188</v>
      </c>
      <c r="D66" s="148" t="s">
        <v>31</v>
      </c>
      <c r="E66" s="146" t="s">
        <v>158</v>
      </c>
      <c r="F66" s="148" t="s">
        <v>70</v>
      </c>
      <c r="G66" s="149">
        <v>47485732.170000002</v>
      </c>
      <c r="H66" s="149">
        <v>0</v>
      </c>
      <c r="I66" s="149">
        <f t="shared" si="18"/>
        <v>9972003.7599999998</v>
      </c>
      <c r="J66" s="150">
        <f t="shared" si="15"/>
        <v>995856.97999999672</v>
      </c>
      <c r="K66" s="154">
        <f t="shared" ref="K66:K129" si="20">SUM(G66:I66)</f>
        <v>57457735.93</v>
      </c>
      <c r="L66" s="151">
        <v>56461878.950000003</v>
      </c>
      <c r="M66" s="152">
        <f t="shared" si="19"/>
        <v>-1.7331991312940609E-2</v>
      </c>
      <c r="N66" s="146" t="s">
        <v>71</v>
      </c>
      <c r="O66" s="145">
        <v>46146</v>
      </c>
      <c r="P66" s="145">
        <v>46147</v>
      </c>
      <c r="Q66" s="146" t="s">
        <v>72</v>
      </c>
      <c r="R66" s="153" t="str">
        <f t="shared" ref="R66:R129" si="21">+TEXT(S66,"mmmm")</f>
        <v>mayo</v>
      </c>
      <c r="S66" s="145">
        <f>+A66+60</f>
        <v>46143</v>
      </c>
      <c r="T66" s="14">
        <f t="shared" si="16"/>
        <v>63</v>
      </c>
      <c r="U66" s="14" t="str">
        <f t="shared" ref="U66:U129" si="22">+TEXT(A66,"mmmm")</f>
        <v>marzo</v>
      </c>
    </row>
    <row r="67" spans="1:21" x14ac:dyDescent="0.25">
      <c r="A67" s="145">
        <v>46084</v>
      </c>
      <c r="B67" s="146" t="s">
        <v>68</v>
      </c>
      <c r="C67" s="147" t="s">
        <v>189</v>
      </c>
      <c r="D67" s="148" t="s">
        <v>33</v>
      </c>
      <c r="E67" s="146" t="s">
        <v>190</v>
      </c>
      <c r="F67" s="148" t="s">
        <v>82</v>
      </c>
      <c r="G67" s="149">
        <v>25893515.079999998</v>
      </c>
      <c r="H67" s="149">
        <v>336615.7</v>
      </c>
      <c r="I67" s="149">
        <f t="shared" si="18"/>
        <v>5437638.1699999999</v>
      </c>
      <c r="J67" s="150">
        <f t="shared" si="15"/>
        <v>645994.47999999672</v>
      </c>
      <c r="K67" s="154">
        <f t="shared" si="20"/>
        <v>31667768.949999996</v>
      </c>
      <c r="L67" s="151">
        <v>31021774.469999999</v>
      </c>
      <c r="M67" s="152">
        <f t="shared" si="19"/>
        <v>-2.0399115612468655E-2</v>
      </c>
      <c r="N67" s="146" t="s">
        <v>75</v>
      </c>
      <c r="O67" s="145">
        <v>46112</v>
      </c>
      <c r="P67" s="145">
        <v>46111</v>
      </c>
      <c r="Q67" s="146" t="s">
        <v>72</v>
      </c>
      <c r="R67" s="153" t="str">
        <f t="shared" si="21"/>
        <v>abril</v>
      </c>
      <c r="S67" s="145">
        <f>+A67+30</f>
        <v>46114</v>
      </c>
      <c r="T67" s="14">
        <f t="shared" si="16"/>
        <v>28</v>
      </c>
      <c r="U67" s="14" t="str">
        <f t="shared" si="22"/>
        <v>marzo</v>
      </c>
    </row>
    <row r="68" spans="1:21" x14ac:dyDescent="0.25">
      <c r="A68" s="145">
        <v>46085</v>
      </c>
      <c r="B68" s="146" t="s">
        <v>68</v>
      </c>
      <c r="C68" s="147" t="s">
        <v>191</v>
      </c>
      <c r="D68" s="156" t="s">
        <v>35</v>
      </c>
      <c r="E68" s="146" t="s">
        <v>158</v>
      </c>
      <c r="F68" s="148" t="s">
        <v>89</v>
      </c>
      <c r="G68" s="149">
        <v>21449345.640000001</v>
      </c>
      <c r="H68" s="149">
        <v>857973.83</v>
      </c>
      <c r="I68" s="149">
        <f t="shared" si="18"/>
        <v>4504362.58</v>
      </c>
      <c r="J68" s="150">
        <f t="shared" si="15"/>
        <v>534890.23999999836</v>
      </c>
      <c r="K68" s="149">
        <f t="shared" si="20"/>
        <v>26811682.049999997</v>
      </c>
      <c r="L68" s="151">
        <v>26276791.809999999</v>
      </c>
      <c r="M68" s="152">
        <f t="shared" si="19"/>
        <v>-1.9949894937680623E-2</v>
      </c>
      <c r="N68" s="153" t="s">
        <v>75</v>
      </c>
      <c r="O68" s="145">
        <v>46151</v>
      </c>
      <c r="P68" s="145">
        <v>46150</v>
      </c>
      <c r="Q68" s="153" t="s">
        <v>72</v>
      </c>
      <c r="R68" s="153" t="str">
        <f t="shared" si="21"/>
        <v>mayo</v>
      </c>
      <c r="S68" s="145">
        <f t="shared" ref="S68:S74" si="23">+A68+60</f>
        <v>46145</v>
      </c>
      <c r="T68" s="14">
        <f t="shared" si="16"/>
        <v>66</v>
      </c>
      <c r="U68" s="14" t="str">
        <f t="shared" si="22"/>
        <v>marzo</v>
      </c>
    </row>
    <row r="69" spans="1:21" x14ac:dyDescent="0.25">
      <c r="A69" s="145">
        <v>46085</v>
      </c>
      <c r="B69" s="146" t="s">
        <v>68</v>
      </c>
      <c r="C69" s="147" t="s">
        <v>192</v>
      </c>
      <c r="D69" s="156" t="s">
        <v>36</v>
      </c>
      <c r="E69" s="146" t="s">
        <v>158</v>
      </c>
      <c r="F69" s="148" t="s">
        <v>91</v>
      </c>
      <c r="G69" s="149">
        <v>2073252.85</v>
      </c>
      <c r="H69" s="149">
        <v>0</v>
      </c>
      <c r="I69" s="149">
        <f t="shared" si="18"/>
        <v>435383.1</v>
      </c>
      <c r="J69" s="150">
        <v>27442352.779999997</v>
      </c>
      <c r="K69" s="149">
        <f t="shared" si="20"/>
        <v>2508635.9500000002</v>
      </c>
      <c r="L69" s="151">
        <f>+K69*98%</f>
        <v>2458463.2310000001</v>
      </c>
      <c r="M69" s="152">
        <f t="shared" si="19"/>
        <v>-2.0000000000000018E-2</v>
      </c>
      <c r="N69" s="153" t="s">
        <v>75</v>
      </c>
      <c r="O69" s="145">
        <v>46151</v>
      </c>
      <c r="P69" s="145">
        <v>46150</v>
      </c>
      <c r="Q69" s="153" t="s">
        <v>72</v>
      </c>
      <c r="R69" s="153" t="str">
        <f t="shared" si="21"/>
        <v>mayo</v>
      </c>
      <c r="S69" s="145">
        <f t="shared" si="23"/>
        <v>46145</v>
      </c>
      <c r="T69" s="14">
        <v>-46028</v>
      </c>
      <c r="U69" s="14" t="str">
        <f t="shared" si="22"/>
        <v>marzo</v>
      </c>
    </row>
    <row r="70" spans="1:21" x14ac:dyDescent="0.25">
      <c r="A70" s="145">
        <v>46085</v>
      </c>
      <c r="B70" s="146" t="s">
        <v>68</v>
      </c>
      <c r="C70" s="147" t="s">
        <v>193</v>
      </c>
      <c r="D70" s="156" t="s">
        <v>35</v>
      </c>
      <c r="E70" s="146" t="s">
        <v>158</v>
      </c>
      <c r="F70" s="148" t="s">
        <v>89</v>
      </c>
      <c r="G70" s="149">
        <v>52719773.170000002</v>
      </c>
      <c r="H70" s="149">
        <v>2108790.9300000002</v>
      </c>
      <c r="I70" s="149">
        <f t="shared" si="18"/>
        <v>11071152.369999999</v>
      </c>
      <c r="J70" s="150">
        <v>2962003.89</v>
      </c>
      <c r="K70" s="149">
        <f t="shared" si="20"/>
        <v>65899716.469999999</v>
      </c>
      <c r="L70" s="151">
        <v>64581722.130000003</v>
      </c>
      <c r="M70" s="152">
        <f t="shared" si="19"/>
        <v>-2.0000000160850351E-2</v>
      </c>
      <c r="N70" s="153" t="s">
        <v>75</v>
      </c>
      <c r="O70" s="145">
        <v>46155</v>
      </c>
      <c r="P70" s="145">
        <v>46155</v>
      </c>
      <c r="Q70" s="145" t="s">
        <v>72</v>
      </c>
      <c r="R70" s="153" t="str">
        <f t="shared" si="21"/>
        <v>mayo</v>
      </c>
      <c r="S70" s="145">
        <f t="shared" si="23"/>
        <v>46145</v>
      </c>
      <c r="T70" s="14">
        <v>-46028</v>
      </c>
      <c r="U70" s="14" t="str">
        <f t="shared" si="22"/>
        <v>marzo</v>
      </c>
    </row>
    <row r="71" spans="1:21" ht="15" customHeight="1" x14ac:dyDescent="0.25">
      <c r="A71" s="145">
        <v>46085</v>
      </c>
      <c r="B71" s="146" t="s">
        <v>68</v>
      </c>
      <c r="C71" s="147" t="s">
        <v>194</v>
      </c>
      <c r="D71" s="156" t="s">
        <v>36</v>
      </c>
      <c r="E71" s="146" t="s">
        <v>158</v>
      </c>
      <c r="F71" s="148" t="s">
        <v>91</v>
      </c>
      <c r="G71" s="149">
        <v>5966552.2400000002</v>
      </c>
      <c r="H71" s="149">
        <v>0</v>
      </c>
      <c r="I71" s="149">
        <f t="shared" si="18"/>
        <v>1252975.97</v>
      </c>
      <c r="J71" s="150">
        <v>27442352.779999997</v>
      </c>
      <c r="K71" s="149">
        <f t="shared" si="20"/>
        <v>7219528.21</v>
      </c>
      <c r="L71" s="151">
        <f>9568711.46-L69</f>
        <v>7110248.2290000003</v>
      </c>
      <c r="M71" s="152">
        <f t="shared" si="19"/>
        <v>-1.5136720547560545E-2</v>
      </c>
      <c r="N71" s="153" t="s">
        <v>75</v>
      </c>
      <c r="O71" s="145">
        <v>46151</v>
      </c>
      <c r="P71" s="145">
        <v>46150</v>
      </c>
      <c r="Q71" s="153" t="s">
        <v>72</v>
      </c>
      <c r="R71" s="153" t="str">
        <f t="shared" si="21"/>
        <v>mayo</v>
      </c>
      <c r="S71" s="145">
        <f t="shared" si="23"/>
        <v>46145</v>
      </c>
      <c r="T71" s="14">
        <v>-46028</v>
      </c>
      <c r="U71" s="14" t="str">
        <f t="shared" si="22"/>
        <v>marzo</v>
      </c>
    </row>
    <row r="72" spans="1:21" x14ac:dyDescent="0.25">
      <c r="A72" s="145">
        <v>46085</v>
      </c>
      <c r="B72" s="146" t="s">
        <v>68</v>
      </c>
      <c r="C72" s="147" t="s">
        <v>195</v>
      </c>
      <c r="D72" s="148" t="s">
        <v>37</v>
      </c>
      <c r="E72" s="146" t="s">
        <v>158</v>
      </c>
      <c r="F72" s="148" t="s">
        <v>102</v>
      </c>
      <c r="G72" s="149">
        <v>22732782.010000002</v>
      </c>
      <c r="H72" s="149">
        <v>1136639.1000000001</v>
      </c>
      <c r="I72" s="149">
        <f t="shared" si="18"/>
        <v>4773884.22</v>
      </c>
      <c r="J72" s="150">
        <v>2962003.89</v>
      </c>
      <c r="K72" s="149">
        <f t="shared" si="20"/>
        <v>28643305.330000002</v>
      </c>
      <c r="L72" s="151">
        <f>+K72*98%</f>
        <v>28070439.2234</v>
      </c>
      <c r="M72" s="152">
        <f t="shared" si="19"/>
        <v>-2.0000000000000018E-2</v>
      </c>
      <c r="N72" s="153" t="s">
        <v>75</v>
      </c>
      <c r="O72" s="145">
        <v>46153</v>
      </c>
      <c r="P72" s="145">
        <v>46153</v>
      </c>
      <c r="Q72" s="145" t="s">
        <v>72</v>
      </c>
      <c r="R72" s="153" t="str">
        <f t="shared" si="21"/>
        <v>mayo</v>
      </c>
      <c r="S72" s="145">
        <f t="shared" si="23"/>
        <v>46145</v>
      </c>
      <c r="T72" s="14">
        <v>-46028</v>
      </c>
      <c r="U72" s="14" t="str">
        <f t="shared" si="22"/>
        <v>marzo</v>
      </c>
    </row>
    <row r="73" spans="1:21" x14ac:dyDescent="0.25">
      <c r="A73" s="145">
        <v>46085</v>
      </c>
      <c r="B73" s="146" t="s">
        <v>68</v>
      </c>
      <c r="C73" s="147" t="s">
        <v>196</v>
      </c>
      <c r="D73" s="156" t="s">
        <v>35</v>
      </c>
      <c r="E73" s="146" t="s">
        <v>158</v>
      </c>
      <c r="F73" s="148" t="s">
        <v>89</v>
      </c>
      <c r="G73" s="149">
        <v>45466379.090000004</v>
      </c>
      <c r="H73" s="149">
        <v>1818655.16</v>
      </c>
      <c r="I73" s="149">
        <f t="shared" si="18"/>
        <v>9547939.6099999994</v>
      </c>
      <c r="J73" s="150">
        <f t="shared" ref="J73:J102" si="24">+K73-L73</f>
        <v>1136659.4799999967</v>
      </c>
      <c r="K73" s="154">
        <f t="shared" si="20"/>
        <v>56832973.859999999</v>
      </c>
      <c r="L73" s="151">
        <v>55696314.380000003</v>
      </c>
      <c r="M73" s="152">
        <f t="shared" si="19"/>
        <v>-2.0000000049267164E-2</v>
      </c>
      <c r="N73" s="146" t="s">
        <v>75</v>
      </c>
      <c r="O73" s="145">
        <v>46154</v>
      </c>
      <c r="P73" s="145">
        <v>46154</v>
      </c>
      <c r="Q73" s="146" t="s">
        <v>72</v>
      </c>
      <c r="R73" s="153" t="str">
        <f t="shared" si="21"/>
        <v>mayo</v>
      </c>
      <c r="S73" s="145">
        <f t="shared" si="23"/>
        <v>46145</v>
      </c>
      <c r="T73" s="14">
        <f t="shared" ref="T73:T102" si="25">+O73-A73</f>
        <v>69</v>
      </c>
      <c r="U73" s="14" t="str">
        <f t="shared" si="22"/>
        <v>marzo</v>
      </c>
    </row>
    <row r="74" spans="1:21" ht="13.15" customHeight="1" x14ac:dyDescent="0.25">
      <c r="A74" s="145">
        <v>46085</v>
      </c>
      <c r="B74" s="146" t="s">
        <v>68</v>
      </c>
      <c r="C74" s="147" t="s">
        <v>197</v>
      </c>
      <c r="D74" s="148" t="s">
        <v>37</v>
      </c>
      <c r="E74" s="146" t="s">
        <v>158</v>
      </c>
      <c r="F74" s="148" t="s">
        <v>102</v>
      </c>
      <c r="G74" s="149">
        <v>9550317.5299999993</v>
      </c>
      <c r="H74" s="149">
        <v>477515.88</v>
      </c>
      <c r="I74" s="149">
        <f t="shared" si="18"/>
        <v>2005566.68</v>
      </c>
      <c r="J74" s="150">
        <f t="shared" si="24"/>
        <v>232867.98340000212</v>
      </c>
      <c r="K74" s="154">
        <f t="shared" si="20"/>
        <v>12033400.09</v>
      </c>
      <c r="L74" s="151">
        <f>39870971.33-L72</f>
        <v>11800532.106599998</v>
      </c>
      <c r="M74" s="152">
        <f t="shared" si="19"/>
        <v>-1.9351802620900194E-2</v>
      </c>
      <c r="N74" s="146" t="s">
        <v>75</v>
      </c>
      <c r="O74" s="145">
        <v>46153</v>
      </c>
      <c r="P74" s="145">
        <v>46153</v>
      </c>
      <c r="Q74" s="146" t="s">
        <v>72</v>
      </c>
      <c r="R74" s="153" t="str">
        <f t="shared" si="21"/>
        <v>mayo</v>
      </c>
      <c r="S74" s="145">
        <f t="shared" si="23"/>
        <v>46145</v>
      </c>
      <c r="T74" s="14">
        <f t="shared" si="25"/>
        <v>68</v>
      </c>
      <c r="U74" s="14" t="str">
        <f t="shared" si="22"/>
        <v>marzo</v>
      </c>
    </row>
    <row r="75" spans="1:21" ht="13.15" customHeight="1" x14ac:dyDescent="0.25">
      <c r="A75" s="145">
        <v>46086</v>
      </c>
      <c r="B75" s="146" t="s">
        <v>68</v>
      </c>
      <c r="C75" s="147" t="s">
        <v>198</v>
      </c>
      <c r="D75" s="148" t="s">
        <v>78</v>
      </c>
      <c r="E75" s="146" t="s">
        <v>158</v>
      </c>
      <c r="F75" s="148" t="s">
        <v>79</v>
      </c>
      <c r="G75" s="149">
        <v>9876021.1199999992</v>
      </c>
      <c r="H75" s="149">
        <v>0</v>
      </c>
      <c r="I75" s="149">
        <f t="shared" si="18"/>
        <v>2073964.44</v>
      </c>
      <c r="J75" s="150">
        <f t="shared" si="24"/>
        <v>246900.51999999955</v>
      </c>
      <c r="K75" s="149">
        <f t="shared" si="20"/>
        <v>11949985.559999999</v>
      </c>
      <c r="L75" s="151">
        <v>11703085.039999999</v>
      </c>
      <c r="M75" s="152">
        <f t="shared" si="19"/>
        <v>-2.0661156347037468E-2</v>
      </c>
      <c r="N75" s="155" t="s">
        <v>75</v>
      </c>
      <c r="O75" s="145">
        <v>46122</v>
      </c>
      <c r="P75" s="145">
        <v>46108</v>
      </c>
      <c r="Q75" s="146" t="s">
        <v>72</v>
      </c>
      <c r="R75" s="153" t="str">
        <f t="shared" si="21"/>
        <v>abril</v>
      </c>
      <c r="S75" s="145">
        <f>+A75+30</f>
        <v>46116</v>
      </c>
      <c r="T75" s="14">
        <f t="shared" si="25"/>
        <v>36</v>
      </c>
      <c r="U75" s="14" t="str">
        <f t="shared" si="22"/>
        <v>marzo</v>
      </c>
    </row>
    <row r="76" spans="1:21" x14ac:dyDescent="0.25">
      <c r="A76" s="145">
        <v>46087</v>
      </c>
      <c r="B76" s="146" t="s">
        <v>68</v>
      </c>
      <c r="C76" s="147" t="s">
        <v>199</v>
      </c>
      <c r="D76" s="156" t="s">
        <v>99</v>
      </c>
      <c r="E76" s="146" t="s">
        <v>158</v>
      </c>
      <c r="F76" s="148" t="s">
        <v>100</v>
      </c>
      <c r="G76" s="149">
        <v>8981285.5399999991</v>
      </c>
      <c r="H76" s="149">
        <v>0</v>
      </c>
      <c r="I76" s="149">
        <f t="shared" si="18"/>
        <v>1886069.96</v>
      </c>
      <c r="J76" s="150">
        <f t="shared" si="24"/>
        <v>178282.31000000052</v>
      </c>
      <c r="K76" s="149">
        <f t="shared" si="20"/>
        <v>10867355.5</v>
      </c>
      <c r="L76" s="151">
        <v>10689073.189999999</v>
      </c>
      <c r="M76" s="152">
        <f t="shared" si="19"/>
        <v>-1.6405307620607434E-2</v>
      </c>
      <c r="N76" s="145" t="s">
        <v>75</v>
      </c>
      <c r="O76" s="145">
        <v>46121</v>
      </c>
      <c r="P76" s="145">
        <v>46121</v>
      </c>
      <c r="Q76" s="153" t="s">
        <v>72</v>
      </c>
      <c r="R76" s="153" t="str">
        <f t="shared" si="21"/>
        <v>abril</v>
      </c>
      <c r="S76" s="145">
        <f>+A76+30</f>
        <v>46117</v>
      </c>
      <c r="T76" s="14">
        <f t="shared" si="25"/>
        <v>34</v>
      </c>
      <c r="U76" s="14" t="str">
        <f t="shared" si="22"/>
        <v>marzo</v>
      </c>
    </row>
    <row r="77" spans="1:21" ht="13.15" customHeight="1" x14ac:dyDescent="0.25">
      <c r="A77" s="145">
        <v>46087</v>
      </c>
      <c r="B77" s="146" t="s">
        <v>68</v>
      </c>
      <c r="C77" s="147" t="s">
        <v>200</v>
      </c>
      <c r="D77" s="148" t="s">
        <v>39</v>
      </c>
      <c r="E77" s="146" t="s">
        <v>201</v>
      </c>
      <c r="F77" s="148" t="s">
        <v>117</v>
      </c>
      <c r="G77" s="149">
        <v>197757720.15000001</v>
      </c>
      <c r="H77" s="149">
        <v>3955154.4</v>
      </c>
      <c r="I77" s="149">
        <f t="shared" si="18"/>
        <v>41529121.229999997</v>
      </c>
      <c r="J77" s="150">
        <f t="shared" si="24"/>
        <v>4954674.8688000143</v>
      </c>
      <c r="K77" s="149">
        <f t="shared" si="20"/>
        <v>243241995.78</v>
      </c>
      <c r="L77" s="151">
        <f>273201301.75-L78-L90</f>
        <v>238287320.91119999</v>
      </c>
      <c r="M77" s="152">
        <f t="shared" si="19"/>
        <v>-2.0369323368326864E-2</v>
      </c>
      <c r="N77" s="146" t="s">
        <v>75</v>
      </c>
      <c r="O77" s="145">
        <v>46134</v>
      </c>
      <c r="P77" s="145">
        <v>46134</v>
      </c>
      <c r="Q77" s="146" t="s">
        <v>72</v>
      </c>
      <c r="R77" s="153" t="str">
        <f t="shared" si="21"/>
        <v>abril</v>
      </c>
      <c r="S77" s="145">
        <f>+A77+45</f>
        <v>46132</v>
      </c>
      <c r="T77" s="14">
        <f t="shared" si="25"/>
        <v>47</v>
      </c>
      <c r="U77" s="14" t="str">
        <f t="shared" si="22"/>
        <v>marzo</v>
      </c>
    </row>
    <row r="78" spans="1:21" x14ac:dyDescent="0.25">
      <c r="A78" s="145">
        <v>46087</v>
      </c>
      <c r="B78" s="146" t="s">
        <v>68</v>
      </c>
      <c r="C78" s="147" t="s">
        <v>202</v>
      </c>
      <c r="D78" s="148" t="s">
        <v>39</v>
      </c>
      <c r="E78" s="146" t="s">
        <v>203</v>
      </c>
      <c r="F78" s="148" t="s">
        <v>117</v>
      </c>
      <c r="G78" s="149">
        <v>8562723.1400000006</v>
      </c>
      <c r="H78" s="149">
        <v>171254.46</v>
      </c>
      <c r="I78" s="149">
        <f t="shared" si="18"/>
        <v>1798171.86</v>
      </c>
      <c r="J78" s="150">
        <f t="shared" si="24"/>
        <v>210642.98919999972</v>
      </c>
      <c r="K78" s="149">
        <f t="shared" si="20"/>
        <v>10532149.460000001</v>
      </c>
      <c r="L78" s="151">
        <f>+K78*98%</f>
        <v>10321506.470800001</v>
      </c>
      <c r="M78" s="152">
        <f t="shared" si="19"/>
        <v>-2.0000000000000018E-2</v>
      </c>
      <c r="N78" s="146" t="s">
        <v>75</v>
      </c>
      <c r="O78" s="145">
        <v>46134</v>
      </c>
      <c r="P78" s="145">
        <v>46134</v>
      </c>
      <c r="Q78" s="146" t="s">
        <v>72</v>
      </c>
      <c r="R78" s="153" t="str">
        <f t="shared" si="21"/>
        <v>abril</v>
      </c>
      <c r="S78" s="145">
        <f>+A78+45</f>
        <v>46132</v>
      </c>
      <c r="T78" s="14">
        <f t="shared" si="25"/>
        <v>47</v>
      </c>
      <c r="U78" s="14" t="str">
        <f t="shared" si="22"/>
        <v>marzo</v>
      </c>
    </row>
    <row r="79" spans="1:21" x14ac:dyDescent="0.25">
      <c r="A79" s="145">
        <v>46090</v>
      </c>
      <c r="B79" s="146" t="s">
        <v>68</v>
      </c>
      <c r="C79" s="147" t="s">
        <v>204</v>
      </c>
      <c r="D79" s="148" t="s">
        <v>123</v>
      </c>
      <c r="E79" s="146" t="s">
        <v>205</v>
      </c>
      <c r="F79" s="148" t="s">
        <v>125</v>
      </c>
      <c r="G79" s="149">
        <v>61399599.82</v>
      </c>
      <c r="H79" s="149">
        <v>1841987.99</v>
      </c>
      <c r="I79" s="149">
        <f t="shared" si="18"/>
        <v>12893915.960000001</v>
      </c>
      <c r="J79" s="150">
        <f t="shared" si="24"/>
        <v>1534625.7330000103</v>
      </c>
      <c r="K79" s="154">
        <f t="shared" si="20"/>
        <v>76135503.770000011</v>
      </c>
      <c r="L79" s="151">
        <f>80550090.88-L80</f>
        <v>74600878.037</v>
      </c>
      <c r="M79" s="152">
        <f t="shared" si="19"/>
        <v>-2.0156505927063972E-2</v>
      </c>
      <c r="N79" s="155" t="s">
        <v>75</v>
      </c>
      <c r="O79" s="145">
        <v>46100</v>
      </c>
      <c r="P79" s="145">
        <v>46100</v>
      </c>
      <c r="Q79" s="146" t="s">
        <v>72</v>
      </c>
      <c r="R79" s="153" t="str">
        <f t="shared" si="21"/>
        <v>abril</v>
      </c>
      <c r="S79" s="145">
        <f t="shared" ref="S79:S80" si="26">+A79+30</f>
        <v>46120</v>
      </c>
      <c r="T79" s="14">
        <f t="shared" si="25"/>
        <v>10</v>
      </c>
      <c r="U79" s="14" t="str">
        <f t="shared" si="22"/>
        <v>marzo</v>
      </c>
    </row>
    <row r="80" spans="1:21" x14ac:dyDescent="0.25">
      <c r="A80" s="145">
        <v>46090</v>
      </c>
      <c r="B80" s="146" t="s">
        <v>68</v>
      </c>
      <c r="C80" s="147" t="s">
        <v>206</v>
      </c>
      <c r="D80" s="148" t="s">
        <v>123</v>
      </c>
      <c r="E80" s="146" t="s">
        <v>207</v>
      </c>
      <c r="F80" s="148" t="s">
        <v>125</v>
      </c>
      <c r="G80" s="149">
        <v>4895665.5999999996</v>
      </c>
      <c r="H80" s="149">
        <v>146869.97</v>
      </c>
      <c r="I80" s="149">
        <f t="shared" si="18"/>
        <v>1028089.78</v>
      </c>
      <c r="J80" s="150">
        <f t="shared" si="24"/>
        <v>121412.50700000022</v>
      </c>
      <c r="K80" s="154">
        <f t="shared" si="20"/>
        <v>6070625.3499999996</v>
      </c>
      <c r="L80" s="151">
        <f>+K80*98%</f>
        <v>5949212.8429999994</v>
      </c>
      <c r="M80" s="152">
        <f t="shared" si="19"/>
        <v>-2.0000000000000018E-2</v>
      </c>
      <c r="N80" s="155" t="s">
        <v>75</v>
      </c>
      <c r="O80" s="145">
        <v>46100</v>
      </c>
      <c r="P80" s="145">
        <v>46100</v>
      </c>
      <c r="Q80" s="146" t="s">
        <v>72</v>
      </c>
      <c r="R80" s="153" t="str">
        <f t="shared" si="21"/>
        <v>abril</v>
      </c>
      <c r="S80" s="145">
        <f t="shared" si="26"/>
        <v>46120</v>
      </c>
      <c r="T80" s="14">
        <f t="shared" si="25"/>
        <v>10</v>
      </c>
      <c r="U80" s="14" t="str">
        <f t="shared" si="22"/>
        <v>marzo</v>
      </c>
    </row>
    <row r="81" spans="1:21" x14ac:dyDescent="0.25">
      <c r="A81" s="145">
        <v>46090</v>
      </c>
      <c r="B81" s="146" t="s">
        <v>68</v>
      </c>
      <c r="C81" s="147" t="s">
        <v>208</v>
      </c>
      <c r="D81" s="156" t="s">
        <v>96</v>
      </c>
      <c r="E81" s="146" t="s">
        <v>158</v>
      </c>
      <c r="F81" s="148" t="s">
        <v>97</v>
      </c>
      <c r="G81" s="149">
        <v>40282041.159999996</v>
      </c>
      <c r="H81" s="149">
        <v>2014102.06</v>
      </c>
      <c r="I81" s="149">
        <f t="shared" si="18"/>
        <v>8459228.6400000006</v>
      </c>
      <c r="J81" s="150">
        <f t="shared" si="24"/>
        <v>0</v>
      </c>
      <c r="K81" s="149">
        <f t="shared" si="20"/>
        <v>50755371.859999999</v>
      </c>
      <c r="L81" s="151">
        <v>50755371.859999999</v>
      </c>
      <c r="M81" s="152">
        <f t="shared" si="19"/>
        <v>0</v>
      </c>
      <c r="N81" s="146" t="s">
        <v>75</v>
      </c>
      <c r="O81" s="145">
        <v>46113</v>
      </c>
      <c r="P81" s="145">
        <v>46113</v>
      </c>
      <c r="Q81" s="146" t="s">
        <v>72</v>
      </c>
      <c r="R81" s="153" t="str">
        <f t="shared" si="21"/>
        <v>abril</v>
      </c>
      <c r="S81" s="145">
        <f>+A81+30</f>
        <v>46120</v>
      </c>
      <c r="T81" s="14">
        <f t="shared" si="25"/>
        <v>23</v>
      </c>
      <c r="U81" s="14" t="str">
        <f t="shared" si="22"/>
        <v>marzo</v>
      </c>
    </row>
    <row r="82" spans="1:21" ht="13.9" customHeight="1" x14ac:dyDescent="0.25">
      <c r="A82" s="145">
        <v>46092</v>
      </c>
      <c r="B82" s="146" t="s">
        <v>68</v>
      </c>
      <c r="C82" s="147" t="s">
        <v>209</v>
      </c>
      <c r="D82" s="148" t="s">
        <v>34</v>
      </c>
      <c r="E82" s="146" t="s">
        <v>158</v>
      </c>
      <c r="F82" s="148" t="s">
        <v>87</v>
      </c>
      <c r="G82" s="149">
        <v>16638806.52</v>
      </c>
      <c r="H82" s="149">
        <v>0</v>
      </c>
      <c r="I82" s="149">
        <f t="shared" si="18"/>
        <v>3494149.37</v>
      </c>
      <c r="J82" s="150">
        <f t="shared" si="24"/>
        <v>3309779.1099999994</v>
      </c>
      <c r="K82" s="149">
        <f t="shared" si="20"/>
        <v>20132955.890000001</v>
      </c>
      <c r="L82" s="151">
        <v>16823176.780000001</v>
      </c>
      <c r="M82" s="152">
        <f t="shared" si="19"/>
        <v>-0.16439608411619078</v>
      </c>
      <c r="N82" s="146" t="s">
        <v>71</v>
      </c>
      <c r="O82" s="145">
        <v>46127</v>
      </c>
      <c r="P82" s="145">
        <v>46128</v>
      </c>
      <c r="Q82" s="146" t="s">
        <v>72</v>
      </c>
      <c r="R82" s="153" t="str">
        <f t="shared" si="21"/>
        <v>abril</v>
      </c>
      <c r="S82" s="145">
        <f>+A82+30</f>
        <v>46122</v>
      </c>
      <c r="T82" s="14">
        <f t="shared" si="25"/>
        <v>35</v>
      </c>
      <c r="U82" s="14" t="str">
        <f t="shared" si="22"/>
        <v>marzo</v>
      </c>
    </row>
    <row r="83" spans="1:21" ht="13.9" customHeight="1" x14ac:dyDescent="0.25">
      <c r="A83" s="145">
        <v>46093</v>
      </c>
      <c r="B83" s="146" t="s">
        <v>68</v>
      </c>
      <c r="C83" s="147" t="s">
        <v>210</v>
      </c>
      <c r="D83" s="148" t="s">
        <v>38</v>
      </c>
      <c r="E83" s="146" t="s">
        <v>211</v>
      </c>
      <c r="F83" s="148" t="s">
        <v>114</v>
      </c>
      <c r="G83" s="149">
        <v>3358909.08</v>
      </c>
      <c r="H83" s="149">
        <v>0</v>
      </c>
      <c r="I83" s="149">
        <f t="shared" si="18"/>
        <v>705370.91</v>
      </c>
      <c r="J83" s="150">
        <f t="shared" si="24"/>
        <v>4064279.99</v>
      </c>
      <c r="K83" s="149">
        <f t="shared" si="20"/>
        <v>4064279.99</v>
      </c>
      <c r="L83" s="151"/>
      <c r="M83" s="152">
        <v>-1</v>
      </c>
      <c r="N83" s="146" t="s">
        <v>71</v>
      </c>
      <c r="O83" s="145">
        <v>46216</v>
      </c>
      <c r="P83" s="145"/>
      <c r="Q83" s="146"/>
      <c r="R83" s="153" t="str">
        <f t="shared" si="21"/>
        <v>mayo</v>
      </c>
      <c r="S83" s="145">
        <f t="shared" ref="S83:S86" si="27">+A83+60</f>
        <v>46153</v>
      </c>
      <c r="T83" s="14">
        <f t="shared" si="25"/>
        <v>123</v>
      </c>
      <c r="U83" s="14" t="str">
        <f t="shared" si="22"/>
        <v>marzo</v>
      </c>
    </row>
    <row r="84" spans="1:21" ht="13.9" customHeight="1" x14ac:dyDescent="0.25">
      <c r="A84" s="145">
        <v>46093</v>
      </c>
      <c r="B84" s="146" t="s">
        <v>68</v>
      </c>
      <c r="C84" s="147" t="s">
        <v>212</v>
      </c>
      <c r="D84" s="148" t="s">
        <v>38</v>
      </c>
      <c r="E84" s="146" t="s">
        <v>213</v>
      </c>
      <c r="F84" s="148" t="s">
        <v>114</v>
      </c>
      <c r="G84" s="149">
        <v>3442199.16</v>
      </c>
      <c r="H84" s="149">
        <v>0</v>
      </c>
      <c r="I84" s="149">
        <f t="shared" si="18"/>
        <v>722861.82</v>
      </c>
      <c r="J84" s="150">
        <f t="shared" si="24"/>
        <v>4165060.98</v>
      </c>
      <c r="K84" s="149">
        <f t="shared" si="20"/>
        <v>4165060.98</v>
      </c>
      <c r="L84" s="151"/>
      <c r="M84" s="152">
        <v>-1</v>
      </c>
      <c r="N84" s="146" t="s">
        <v>71</v>
      </c>
      <c r="O84" s="145">
        <v>46216</v>
      </c>
      <c r="P84" s="145"/>
      <c r="Q84" s="146"/>
      <c r="R84" s="153" t="str">
        <f t="shared" si="21"/>
        <v>mayo</v>
      </c>
      <c r="S84" s="145">
        <f t="shared" si="27"/>
        <v>46153</v>
      </c>
      <c r="T84" s="14">
        <f t="shared" si="25"/>
        <v>123</v>
      </c>
      <c r="U84" s="14" t="str">
        <f t="shared" si="22"/>
        <v>marzo</v>
      </c>
    </row>
    <row r="85" spans="1:21" x14ac:dyDescent="0.25">
      <c r="A85" s="145">
        <v>46093</v>
      </c>
      <c r="B85" s="146" t="s">
        <v>68</v>
      </c>
      <c r="C85" s="147" t="s">
        <v>214</v>
      </c>
      <c r="D85" s="148" t="s">
        <v>38</v>
      </c>
      <c r="E85" s="146" t="s">
        <v>215</v>
      </c>
      <c r="F85" s="148" t="s">
        <v>114</v>
      </c>
      <c r="G85" s="149">
        <v>3348145.1</v>
      </c>
      <c r="H85" s="149">
        <v>0</v>
      </c>
      <c r="I85" s="149">
        <f t="shared" si="18"/>
        <v>703110.47</v>
      </c>
      <c r="J85" s="150">
        <f t="shared" si="24"/>
        <v>4051255.5700000003</v>
      </c>
      <c r="K85" s="149">
        <f t="shared" si="20"/>
        <v>4051255.5700000003</v>
      </c>
      <c r="L85" s="151"/>
      <c r="M85" s="152">
        <v>-1</v>
      </c>
      <c r="N85" s="146" t="s">
        <v>71</v>
      </c>
      <c r="O85" s="145">
        <v>46216</v>
      </c>
      <c r="P85" s="145"/>
      <c r="Q85" s="146"/>
      <c r="R85" s="153" t="str">
        <f t="shared" si="21"/>
        <v>mayo</v>
      </c>
      <c r="S85" s="145">
        <f t="shared" si="27"/>
        <v>46153</v>
      </c>
      <c r="T85" s="14">
        <f t="shared" si="25"/>
        <v>123</v>
      </c>
      <c r="U85" s="14" t="str">
        <f t="shared" si="22"/>
        <v>marzo</v>
      </c>
    </row>
    <row r="86" spans="1:21" x14ac:dyDescent="0.25">
      <c r="A86" s="145">
        <v>46093</v>
      </c>
      <c r="B86" s="146" t="s">
        <v>68</v>
      </c>
      <c r="C86" s="147" t="s">
        <v>216</v>
      </c>
      <c r="D86" s="148" t="s">
        <v>38</v>
      </c>
      <c r="E86" s="146" t="s">
        <v>217</v>
      </c>
      <c r="F86" s="148" t="s">
        <v>114</v>
      </c>
      <c r="G86" s="149">
        <v>24182190.079999998</v>
      </c>
      <c r="H86" s="149">
        <v>0</v>
      </c>
      <c r="I86" s="149">
        <f t="shared" si="18"/>
        <v>5078259.92</v>
      </c>
      <c r="J86" s="150">
        <f t="shared" si="24"/>
        <v>29260450</v>
      </c>
      <c r="K86" s="149">
        <f t="shared" si="20"/>
        <v>29260450</v>
      </c>
      <c r="L86" s="151"/>
      <c r="M86" s="152">
        <v>-1</v>
      </c>
      <c r="N86" s="146" t="s">
        <v>71</v>
      </c>
      <c r="O86" s="145">
        <v>46213</v>
      </c>
      <c r="P86" s="145"/>
      <c r="Q86" s="146"/>
      <c r="R86" s="153" t="str">
        <f t="shared" si="21"/>
        <v>mayo</v>
      </c>
      <c r="S86" s="145">
        <f t="shared" si="27"/>
        <v>46153</v>
      </c>
      <c r="T86" s="14">
        <f t="shared" si="25"/>
        <v>120</v>
      </c>
      <c r="U86" s="14" t="str">
        <f t="shared" si="22"/>
        <v>marzo</v>
      </c>
    </row>
    <row r="87" spans="1:21" ht="15" customHeight="1" x14ac:dyDescent="0.25">
      <c r="A87" s="145">
        <v>46093</v>
      </c>
      <c r="B87" s="146" t="s">
        <v>68</v>
      </c>
      <c r="C87" s="147" t="s">
        <v>218</v>
      </c>
      <c r="D87" s="148" t="s">
        <v>127</v>
      </c>
      <c r="E87" s="146" t="s">
        <v>219</v>
      </c>
      <c r="F87" s="148" t="s">
        <v>129</v>
      </c>
      <c r="G87" s="149">
        <v>898614681.60000002</v>
      </c>
      <c r="H87" s="149">
        <v>2695844.04</v>
      </c>
      <c r="I87" s="149">
        <f t="shared" si="18"/>
        <v>188709083.13999999</v>
      </c>
      <c r="J87" s="150">
        <f t="shared" si="24"/>
        <v>178822978.24000001</v>
      </c>
      <c r="K87" s="149">
        <f t="shared" si="20"/>
        <v>1090019608.78</v>
      </c>
      <c r="L87" s="151">
        <v>911196630.53999996</v>
      </c>
      <c r="M87" s="152">
        <f>(L87/K87)-1</f>
        <v>-0.1640548269036618</v>
      </c>
      <c r="N87" s="146" t="s">
        <v>75</v>
      </c>
      <c r="O87" s="145">
        <v>46113</v>
      </c>
      <c r="P87" s="145">
        <v>46119</v>
      </c>
      <c r="Q87" s="146" t="s">
        <v>72</v>
      </c>
      <c r="R87" s="153" t="str">
        <f t="shared" si="21"/>
        <v>abril</v>
      </c>
      <c r="S87" s="145">
        <f>+A87+30</f>
        <v>46123</v>
      </c>
      <c r="T87" s="14">
        <f t="shared" si="25"/>
        <v>20</v>
      </c>
      <c r="U87" s="14" t="str">
        <f t="shared" si="22"/>
        <v>marzo</v>
      </c>
    </row>
    <row r="88" spans="1:21" ht="13.9" customHeight="1" x14ac:dyDescent="0.25">
      <c r="A88" s="145">
        <v>46093</v>
      </c>
      <c r="B88" s="146" t="s">
        <v>68</v>
      </c>
      <c r="C88" s="147" t="s">
        <v>220</v>
      </c>
      <c r="D88" s="148" t="s">
        <v>38</v>
      </c>
      <c r="E88" s="146" t="s">
        <v>221</v>
      </c>
      <c r="F88" s="148" t="s">
        <v>114</v>
      </c>
      <c r="G88" s="149">
        <v>70475842.560000002</v>
      </c>
      <c r="H88" s="149">
        <v>0</v>
      </c>
      <c r="I88" s="149">
        <f t="shared" si="18"/>
        <v>14799926.939999999</v>
      </c>
      <c r="J88" s="150">
        <f t="shared" si="24"/>
        <v>85275769.5</v>
      </c>
      <c r="K88" s="149">
        <f t="shared" si="20"/>
        <v>85275769.5</v>
      </c>
      <c r="L88" s="151"/>
      <c r="M88" s="152">
        <v>-1</v>
      </c>
      <c r="N88" s="146" t="s">
        <v>71</v>
      </c>
      <c r="O88" s="145">
        <v>46216</v>
      </c>
      <c r="P88" s="145"/>
      <c r="Q88" s="146"/>
      <c r="R88" s="153" t="str">
        <f t="shared" si="21"/>
        <v>mayo</v>
      </c>
      <c r="S88" s="145">
        <f t="shared" ref="S88:S89" si="28">+A88+60</f>
        <v>46153</v>
      </c>
      <c r="T88" s="14">
        <f t="shared" si="25"/>
        <v>123</v>
      </c>
      <c r="U88" s="14" t="str">
        <f t="shared" si="22"/>
        <v>marzo</v>
      </c>
    </row>
    <row r="89" spans="1:21" x14ac:dyDescent="0.25">
      <c r="A89" s="145">
        <v>46094</v>
      </c>
      <c r="B89" s="146" t="s">
        <v>68</v>
      </c>
      <c r="C89" s="147" t="s">
        <v>222</v>
      </c>
      <c r="D89" s="148" t="s">
        <v>38</v>
      </c>
      <c r="E89" s="146" t="s">
        <v>217</v>
      </c>
      <c r="F89" s="148" t="s">
        <v>114</v>
      </c>
      <c r="G89" s="149">
        <v>45963708.079999998</v>
      </c>
      <c r="H89" s="149">
        <v>0</v>
      </c>
      <c r="I89" s="149">
        <f t="shared" si="18"/>
        <v>9652378.6999999993</v>
      </c>
      <c r="J89" s="150">
        <f t="shared" si="24"/>
        <v>55616086.780000001</v>
      </c>
      <c r="K89" s="149">
        <f t="shared" si="20"/>
        <v>55616086.780000001</v>
      </c>
      <c r="L89" s="151"/>
      <c r="M89" s="152">
        <v>-1</v>
      </c>
      <c r="N89" s="146" t="s">
        <v>71</v>
      </c>
      <c r="O89" s="145">
        <v>46216</v>
      </c>
      <c r="P89" s="145"/>
      <c r="Q89" s="146"/>
      <c r="R89" s="153" t="str">
        <f t="shared" si="21"/>
        <v>mayo</v>
      </c>
      <c r="S89" s="145">
        <f t="shared" si="28"/>
        <v>46154</v>
      </c>
      <c r="T89" s="14">
        <f t="shared" si="25"/>
        <v>122</v>
      </c>
      <c r="U89" s="14" t="str">
        <f t="shared" si="22"/>
        <v>marzo</v>
      </c>
    </row>
    <row r="90" spans="1:21" x14ac:dyDescent="0.25">
      <c r="A90" s="145">
        <v>46094</v>
      </c>
      <c r="B90" s="146" t="s">
        <v>68</v>
      </c>
      <c r="C90" s="147" t="s">
        <v>223</v>
      </c>
      <c r="D90" s="148" t="s">
        <v>39</v>
      </c>
      <c r="E90" s="146" t="s">
        <v>224</v>
      </c>
      <c r="F90" s="148" t="s">
        <v>117</v>
      </c>
      <c r="G90" s="149">
        <v>20401920</v>
      </c>
      <c r="H90" s="149">
        <v>408038.40000000002</v>
      </c>
      <c r="I90" s="149">
        <f t="shared" si="18"/>
        <v>4284403.2</v>
      </c>
      <c r="J90" s="150">
        <f t="shared" si="24"/>
        <v>501887.23200000077</v>
      </c>
      <c r="K90" s="149">
        <f t="shared" si="20"/>
        <v>25094361.599999998</v>
      </c>
      <c r="L90" s="151">
        <f>+K90*98%</f>
        <v>24592474.367999997</v>
      </c>
      <c r="M90" s="152">
        <f t="shared" ref="M90:M93" si="29">(L90/K90)-1</f>
        <v>-2.0000000000000018E-2</v>
      </c>
      <c r="N90" s="146" t="s">
        <v>75</v>
      </c>
      <c r="O90" s="145">
        <v>46134</v>
      </c>
      <c r="P90" s="145">
        <v>46134</v>
      </c>
      <c r="Q90" s="146" t="s">
        <v>72</v>
      </c>
      <c r="R90" s="153" t="str">
        <f t="shared" si="21"/>
        <v>abril</v>
      </c>
      <c r="S90" s="145">
        <f>+A90+45</f>
        <v>46139</v>
      </c>
      <c r="T90" s="14">
        <f t="shared" si="25"/>
        <v>40</v>
      </c>
      <c r="U90" s="14" t="str">
        <f t="shared" si="22"/>
        <v>marzo</v>
      </c>
    </row>
    <row r="91" spans="1:21" x14ac:dyDescent="0.25">
      <c r="A91" s="145">
        <v>46097</v>
      </c>
      <c r="B91" s="146" t="s">
        <v>68</v>
      </c>
      <c r="C91" s="147" t="s">
        <v>225</v>
      </c>
      <c r="D91" s="148" t="s">
        <v>123</v>
      </c>
      <c r="E91" s="146" t="s">
        <v>226</v>
      </c>
      <c r="F91" s="148" t="s">
        <v>125</v>
      </c>
      <c r="G91" s="149">
        <v>49227974.210000001</v>
      </c>
      <c r="H91" s="149">
        <v>1476839.23</v>
      </c>
      <c r="I91" s="149">
        <f t="shared" si="18"/>
        <v>10337874.58</v>
      </c>
      <c r="J91" s="150">
        <f t="shared" si="24"/>
        <v>1230672.6366000026</v>
      </c>
      <c r="K91" s="154">
        <f t="shared" si="20"/>
        <v>61042688.019999996</v>
      </c>
      <c r="L91" s="151">
        <f>67812109.82-L92-L93</f>
        <v>59812015.383399993</v>
      </c>
      <c r="M91" s="152">
        <f t="shared" si="29"/>
        <v>-2.01608526183642E-2</v>
      </c>
      <c r="N91" s="155" t="s">
        <v>75</v>
      </c>
      <c r="O91" s="145">
        <v>46118</v>
      </c>
      <c r="P91" s="145">
        <v>46118</v>
      </c>
      <c r="Q91" s="146" t="s">
        <v>72</v>
      </c>
      <c r="R91" s="153" t="str">
        <f t="shared" si="21"/>
        <v>abril</v>
      </c>
      <c r="S91" s="145">
        <f t="shared" ref="S91:S93" si="30">+A91+30</f>
        <v>46127</v>
      </c>
      <c r="T91" s="14">
        <f t="shared" si="25"/>
        <v>21</v>
      </c>
      <c r="U91" s="14" t="str">
        <f t="shared" si="22"/>
        <v>marzo</v>
      </c>
    </row>
    <row r="92" spans="1:21" x14ac:dyDescent="0.25">
      <c r="A92" s="145">
        <v>46097</v>
      </c>
      <c r="B92" s="146" t="s">
        <v>68</v>
      </c>
      <c r="C92" s="147" t="s">
        <v>227</v>
      </c>
      <c r="D92" s="148" t="s">
        <v>123</v>
      </c>
      <c r="E92" s="146" t="s">
        <v>226</v>
      </c>
      <c r="F92" s="148" t="s">
        <v>125</v>
      </c>
      <c r="G92" s="149">
        <v>4102331.18</v>
      </c>
      <c r="H92" s="149">
        <v>123069.94</v>
      </c>
      <c r="I92" s="149">
        <f t="shared" si="18"/>
        <v>861489.55</v>
      </c>
      <c r="J92" s="150">
        <f t="shared" si="24"/>
        <v>101737.81340000033</v>
      </c>
      <c r="K92" s="154">
        <f t="shared" si="20"/>
        <v>5086890.67</v>
      </c>
      <c r="L92" s="151">
        <f>+K92*98%</f>
        <v>4985152.8565999996</v>
      </c>
      <c r="M92" s="152">
        <f t="shared" si="29"/>
        <v>-2.0000000000000018E-2</v>
      </c>
      <c r="N92" s="155" t="s">
        <v>75</v>
      </c>
      <c r="O92" s="145">
        <v>46118</v>
      </c>
      <c r="P92" s="145">
        <v>46118</v>
      </c>
      <c r="Q92" s="146" t="s">
        <v>72</v>
      </c>
      <c r="R92" s="153" t="str">
        <f t="shared" si="21"/>
        <v>abril</v>
      </c>
      <c r="S92" s="145">
        <f t="shared" si="30"/>
        <v>46127</v>
      </c>
      <c r="T92" s="14">
        <f t="shared" si="25"/>
        <v>21</v>
      </c>
      <c r="U92" s="14" t="str">
        <f t="shared" si="22"/>
        <v>marzo</v>
      </c>
    </row>
    <row r="93" spans="1:21" x14ac:dyDescent="0.25">
      <c r="A93" s="145">
        <v>46098</v>
      </c>
      <c r="B93" s="146" t="s">
        <v>68</v>
      </c>
      <c r="C93" s="147" t="s">
        <v>228</v>
      </c>
      <c r="D93" s="148" t="s">
        <v>123</v>
      </c>
      <c r="E93" s="146" t="s">
        <v>229</v>
      </c>
      <c r="F93" s="148" t="s">
        <v>125</v>
      </c>
      <c r="G93" s="149">
        <v>2481025</v>
      </c>
      <c r="H93" s="149">
        <v>74430.75</v>
      </c>
      <c r="I93" s="149">
        <f t="shared" si="18"/>
        <v>521015.25</v>
      </c>
      <c r="J93" s="150">
        <f t="shared" si="24"/>
        <v>61529.419999999925</v>
      </c>
      <c r="K93" s="154">
        <f t="shared" si="20"/>
        <v>3076471</v>
      </c>
      <c r="L93" s="151">
        <f>+K93*98%</f>
        <v>3014941.58</v>
      </c>
      <c r="M93" s="152">
        <f t="shared" si="29"/>
        <v>-2.0000000000000018E-2</v>
      </c>
      <c r="N93" s="155" t="s">
        <v>75</v>
      </c>
      <c r="O93" s="145">
        <v>46118</v>
      </c>
      <c r="P93" s="145">
        <v>46118</v>
      </c>
      <c r="Q93" s="146" t="s">
        <v>72</v>
      </c>
      <c r="R93" s="153" t="str">
        <f t="shared" si="21"/>
        <v>abril</v>
      </c>
      <c r="S93" s="145">
        <f t="shared" si="30"/>
        <v>46128</v>
      </c>
      <c r="T93" s="14">
        <f t="shared" si="25"/>
        <v>20</v>
      </c>
      <c r="U93" s="14" t="str">
        <f t="shared" si="22"/>
        <v>marzo</v>
      </c>
    </row>
    <row r="94" spans="1:21" x14ac:dyDescent="0.25">
      <c r="A94" s="145">
        <v>46099</v>
      </c>
      <c r="B94" s="146" t="s">
        <v>68</v>
      </c>
      <c r="C94" s="147" t="s">
        <v>230</v>
      </c>
      <c r="D94" s="148" t="s">
        <v>38</v>
      </c>
      <c r="E94" s="146" t="s">
        <v>221</v>
      </c>
      <c r="F94" s="148" t="s">
        <v>114</v>
      </c>
      <c r="G94" s="149">
        <v>6968894.2400000002</v>
      </c>
      <c r="H94" s="149">
        <v>0</v>
      </c>
      <c r="I94" s="149">
        <f t="shared" si="18"/>
        <v>1463467.79</v>
      </c>
      <c r="J94" s="150">
        <f t="shared" si="24"/>
        <v>8432362.0300000012</v>
      </c>
      <c r="K94" s="149">
        <f t="shared" si="20"/>
        <v>8432362.0300000012</v>
      </c>
      <c r="L94" s="151"/>
      <c r="M94" s="152">
        <v>-1</v>
      </c>
      <c r="N94" s="146" t="s">
        <v>71</v>
      </c>
      <c r="O94" s="145">
        <v>46219</v>
      </c>
      <c r="P94" s="145"/>
      <c r="Q94" s="146"/>
      <c r="R94" s="153" t="str">
        <f t="shared" si="21"/>
        <v>mayo</v>
      </c>
      <c r="S94" s="145">
        <f>+A94+60</f>
        <v>46159</v>
      </c>
      <c r="T94" s="14">
        <f t="shared" si="25"/>
        <v>120</v>
      </c>
      <c r="U94" s="14" t="str">
        <f t="shared" si="22"/>
        <v>marzo</v>
      </c>
    </row>
    <row r="95" spans="1:21" x14ac:dyDescent="0.25">
      <c r="A95" s="145">
        <v>46113</v>
      </c>
      <c r="B95" s="146" t="s">
        <v>68</v>
      </c>
      <c r="C95" s="147" t="s">
        <v>231</v>
      </c>
      <c r="D95" s="148" t="s">
        <v>31</v>
      </c>
      <c r="E95" s="146" t="s">
        <v>190</v>
      </c>
      <c r="F95" s="148" t="s">
        <v>70</v>
      </c>
      <c r="G95" s="149">
        <v>55229199.609999999</v>
      </c>
      <c r="H95" s="149">
        <v>0</v>
      </c>
      <c r="I95" s="149">
        <f t="shared" si="18"/>
        <v>11598131.92</v>
      </c>
      <c r="J95" s="150">
        <f t="shared" si="24"/>
        <v>1158469.7899999991</v>
      </c>
      <c r="K95" s="154">
        <f t="shared" si="20"/>
        <v>66827331.530000001</v>
      </c>
      <c r="L95" s="151">
        <v>65668861.740000002</v>
      </c>
      <c r="M95" s="152">
        <f t="shared" ref="M95:M110" si="31">(L95/K95)-1</f>
        <v>-1.7335269319858182E-2</v>
      </c>
      <c r="N95" s="146" t="s">
        <v>71</v>
      </c>
      <c r="O95" s="145">
        <v>46174</v>
      </c>
      <c r="P95" s="145">
        <v>46175</v>
      </c>
      <c r="Q95" s="146" t="s">
        <v>72</v>
      </c>
      <c r="R95" s="153" t="str">
        <f t="shared" si="21"/>
        <v>mayo</v>
      </c>
      <c r="S95" s="145">
        <f>+A95+60</f>
        <v>46173</v>
      </c>
      <c r="T95" s="14">
        <f t="shared" si="25"/>
        <v>61</v>
      </c>
      <c r="U95" s="14" t="str">
        <f t="shared" si="22"/>
        <v>abril</v>
      </c>
    </row>
    <row r="96" spans="1:21" ht="13.9" customHeight="1" x14ac:dyDescent="0.25">
      <c r="A96" s="145">
        <v>46118</v>
      </c>
      <c r="B96" s="146" t="s">
        <v>68</v>
      </c>
      <c r="C96" s="147" t="s">
        <v>232</v>
      </c>
      <c r="D96" s="148" t="s">
        <v>32</v>
      </c>
      <c r="E96" s="146" t="s">
        <v>190</v>
      </c>
      <c r="F96" s="148" t="s">
        <v>74</v>
      </c>
      <c r="G96" s="149">
        <v>424831684.74000001</v>
      </c>
      <c r="H96" s="149">
        <v>0</v>
      </c>
      <c r="I96" s="149">
        <f t="shared" si="18"/>
        <v>89214653.799999997</v>
      </c>
      <c r="J96" s="150">
        <f t="shared" si="24"/>
        <v>84540161.860000014</v>
      </c>
      <c r="K96" s="149">
        <f t="shared" si="20"/>
        <v>514046338.54000002</v>
      </c>
      <c r="L96" s="151">
        <v>429506176.68000001</v>
      </c>
      <c r="M96" s="152">
        <f t="shared" si="31"/>
        <v>-0.16446019652646859</v>
      </c>
      <c r="N96" s="146" t="s">
        <v>75</v>
      </c>
      <c r="O96" s="145">
        <v>46178</v>
      </c>
      <c r="P96" s="145">
        <v>46178</v>
      </c>
      <c r="Q96" s="146" t="s">
        <v>76</v>
      </c>
      <c r="R96" s="153" t="str">
        <f t="shared" si="21"/>
        <v>junio</v>
      </c>
      <c r="S96" s="145">
        <f>+A96+60</f>
        <v>46178</v>
      </c>
      <c r="T96" s="14">
        <f t="shared" si="25"/>
        <v>60</v>
      </c>
      <c r="U96" s="14" t="str">
        <f t="shared" si="22"/>
        <v>abril</v>
      </c>
    </row>
    <row r="97" spans="1:21" x14ac:dyDescent="0.25">
      <c r="A97" s="145">
        <v>46118</v>
      </c>
      <c r="B97" s="146" t="s">
        <v>68</v>
      </c>
      <c r="C97" s="147" t="s">
        <v>233</v>
      </c>
      <c r="D97" s="148" t="s">
        <v>33</v>
      </c>
      <c r="E97" s="146" t="s">
        <v>234</v>
      </c>
      <c r="F97" s="148" t="s">
        <v>82</v>
      </c>
      <c r="G97" s="149">
        <v>25893515.079999998</v>
      </c>
      <c r="H97" s="149">
        <v>336615.7</v>
      </c>
      <c r="I97" s="149">
        <f t="shared" si="18"/>
        <v>5437638.1699999999</v>
      </c>
      <c r="J97" s="150">
        <f t="shared" si="24"/>
        <v>645994.47999999672</v>
      </c>
      <c r="K97" s="154">
        <f t="shared" si="20"/>
        <v>31667768.949999996</v>
      </c>
      <c r="L97" s="151">
        <v>31021774.469999999</v>
      </c>
      <c r="M97" s="152">
        <f t="shared" si="31"/>
        <v>-2.0399115612468655E-2</v>
      </c>
      <c r="N97" s="146" t="s">
        <v>75</v>
      </c>
      <c r="O97" s="145">
        <v>46142</v>
      </c>
      <c r="P97" s="145">
        <v>46142</v>
      </c>
      <c r="Q97" s="146" t="s">
        <v>72</v>
      </c>
      <c r="R97" s="153" t="str">
        <f t="shared" si="21"/>
        <v>mayo</v>
      </c>
      <c r="S97" s="145">
        <f>+A97+30</f>
        <v>46148</v>
      </c>
      <c r="T97" s="14">
        <f t="shared" si="25"/>
        <v>24</v>
      </c>
      <c r="U97" s="14" t="str">
        <f t="shared" si="22"/>
        <v>abril</v>
      </c>
    </row>
    <row r="98" spans="1:21" x14ac:dyDescent="0.25">
      <c r="A98" s="145">
        <v>46119</v>
      </c>
      <c r="B98" s="146" t="s">
        <v>68</v>
      </c>
      <c r="C98" s="147" t="s">
        <v>235</v>
      </c>
      <c r="D98" s="148" t="s">
        <v>39</v>
      </c>
      <c r="E98" s="146" t="s">
        <v>236</v>
      </c>
      <c r="F98" s="148" t="s">
        <v>117</v>
      </c>
      <c r="G98" s="149">
        <v>9153714.4299999997</v>
      </c>
      <c r="H98" s="149">
        <v>183074.29</v>
      </c>
      <c r="I98" s="149">
        <f t="shared" si="18"/>
        <v>1922280.03</v>
      </c>
      <c r="J98" s="150">
        <f t="shared" si="24"/>
        <v>225181.375</v>
      </c>
      <c r="K98" s="149">
        <f t="shared" si="20"/>
        <v>11259068.749999998</v>
      </c>
      <c r="L98" s="151">
        <f>+K98*98%</f>
        <v>11033887.374999998</v>
      </c>
      <c r="M98" s="152">
        <f t="shared" si="31"/>
        <v>-2.0000000000000018E-2</v>
      </c>
      <c r="N98" s="146" t="s">
        <v>75</v>
      </c>
      <c r="O98" s="145">
        <v>46164</v>
      </c>
      <c r="P98" s="145">
        <v>46164</v>
      </c>
      <c r="Q98" s="146" t="s">
        <v>72</v>
      </c>
      <c r="R98" s="153" t="str">
        <f t="shared" si="21"/>
        <v>mayo</v>
      </c>
      <c r="S98" s="145">
        <f>+A98+45</f>
        <v>46164</v>
      </c>
      <c r="T98" s="14">
        <f t="shared" si="25"/>
        <v>45</v>
      </c>
      <c r="U98" s="14" t="str">
        <f t="shared" si="22"/>
        <v>abril</v>
      </c>
    </row>
    <row r="99" spans="1:21" x14ac:dyDescent="0.25">
      <c r="A99" s="145">
        <v>46120</v>
      </c>
      <c r="B99" s="146" t="s">
        <v>68</v>
      </c>
      <c r="C99" s="147" t="s">
        <v>237</v>
      </c>
      <c r="D99" s="148" t="s">
        <v>78</v>
      </c>
      <c r="E99" s="146" t="s">
        <v>190</v>
      </c>
      <c r="F99" s="148" t="s">
        <v>79</v>
      </c>
      <c r="G99" s="149">
        <v>10836875.67</v>
      </c>
      <c r="H99" s="149">
        <v>0</v>
      </c>
      <c r="I99" s="149">
        <f t="shared" si="18"/>
        <v>2275743.89</v>
      </c>
      <c r="J99" s="150">
        <f t="shared" si="24"/>
        <v>269578.49000000022</v>
      </c>
      <c r="K99" s="149">
        <f t="shared" si="20"/>
        <v>13112619.560000001</v>
      </c>
      <c r="L99" s="151">
        <v>12843041.07</v>
      </c>
      <c r="M99" s="152">
        <f t="shared" si="31"/>
        <v>-2.0558705967673174E-2</v>
      </c>
      <c r="N99" s="155" t="s">
        <v>75</v>
      </c>
      <c r="O99" s="145">
        <v>46140</v>
      </c>
      <c r="P99" s="145">
        <v>46140</v>
      </c>
      <c r="Q99" s="146" t="s">
        <v>72</v>
      </c>
      <c r="R99" s="153" t="str">
        <f t="shared" si="21"/>
        <v>mayo</v>
      </c>
      <c r="S99" s="145">
        <f>+A99+30</f>
        <v>46150</v>
      </c>
      <c r="T99" s="14">
        <f t="shared" si="25"/>
        <v>20</v>
      </c>
      <c r="U99" s="14" t="str">
        <f t="shared" si="22"/>
        <v>abril</v>
      </c>
    </row>
    <row r="100" spans="1:21" x14ac:dyDescent="0.25">
      <c r="A100" s="145">
        <v>46120</v>
      </c>
      <c r="B100" s="146" t="s">
        <v>68</v>
      </c>
      <c r="C100" s="147" t="s">
        <v>238</v>
      </c>
      <c r="D100" s="156" t="s">
        <v>96</v>
      </c>
      <c r="E100" s="146" t="s">
        <v>190</v>
      </c>
      <c r="F100" s="148" t="s">
        <v>97</v>
      </c>
      <c r="G100" s="149">
        <v>44113635.020000003</v>
      </c>
      <c r="H100" s="149">
        <v>2205681.75</v>
      </c>
      <c r="I100" s="149">
        <f t="shared" si="18"/>
        <v>9263863.3499999996</v>
      </c>
      <c r="J100" s="150">
        <f t="shared" si="24"/>
        <v>0</v>
      </c>
      <c r="K100" s="149">
        <f t="shared" si="20"/>
        <v>55583180.120000005</v>
      </c>
      <c r="L100" s="151">
        <v>55583180.119999997</v>
      </c>
      <c r="M100" s="152">
        <f t="shared" si="31"/>
        <v>0</v>
      </c>
      <c r="N100" s="146" t="s">
        <v>75</v>
      </c>
      <c r="O100" s="145">
        <v>46142</v>
      </c>
      <c r="P100" s="145">
        <v>46142</v>
      </c>
      <c r="Q100" s="146" t="s">
        <v>72</v>
      </c>
      <c r="R100" s="153" t="str">
        <f t="shared" si="21"/>
        <v>mayo</v>
      </c>
      <c r="S100" s="145">
        <f>+A100+30</f>
        <v>46150</v>
      </c>
      <c r="T100" s="14">
        <f t="shared" si="25"/>
        <v>22</v>
      </c>
      <c r="U100" s="14" t="str">
        <f t="shared" si="22"/>
        <v>abril</v>
      </c>
    </row>
    <row r="101" spans="1:21" x14ac:dyDescent="0.25">
      <c r="A101" s="145">
        <v>46120</v>
      </c>
      <c r="B101" s="146" t="s">
        <v>68</v>
      </c>
      <c r="C101" s="147" t="s">
        <v>239</v>
      </c>
      <c r="D101" s="156" t="s">
        <v>99</v>
      </c>
      <c r="E101" s="146" t="s">
        <v>190</v>
      </c>
      <c r="F101" s="148" t="s">
        <v>100</v>
      </c>
      <c r="G101" s="149">
        <v>10834034.4</v>
      </c>
      <c r="H101" s="149">
        <v>0</v>
      </c>
      <c r="I101" s="149">
        <f t="shared" si="18"/>
        <v>2275147.2200000002</v>
      </c>
      <c r="J101" s="150">
        <f t="shared" si="24"/>
        <v>215337.29000000097</v>
      </c>
      <c r="K101" s="149">
        <f t="shared" si="20"/>
        <v>13109181.620000001</v>
      </c>
      <c r="L101" s="151">
        <v>12893844.33</v>
      </c>
      <c r="M101" s="152">
        <f t="shared" si="31"/>
        <v>-1.6426447984477677E-2</v>
      </c>
      <c r="N101" s="145" t="s">
        <v>75</v>
      </c>
      <c r="O101" s="145">
        <v>46136</v>
      </c>
      <c r="P101" s="145">
        <v>46142</v>
      </c>
      <c r="Q101" s="153" t="s">
        <v>72</v>
      </c>
      <c r="R101" s="153" t="str">
        <f t="shared" si="21"/>
        <v>mayo</v>
      </c>
      <c r="S101" s="145">
        <f>+A101+30</f>
        <v>46150</v>
      </c>
      <c r="T101" s="14">
        <f t="shared" si="25"/>
        <v>16</v>
      </c>
      <c r="U101" s="14" t="str">
        <f t="shared" si="22"/>
        <v>abril</v>
      </c>
    </row>
    <row r="102" spans="1:21" x14ac:dyDescent="0.25">
      <c r="A102" s="145">
        <v>46120</v>
      </c>
      <c r="B102" s="146" t="s">
        <v>68</v>
      </c>
      <c r="C102" s="147" t="s">
        <v>240</v>
      </c>
      <c r="D102" s="156" t="s">
        <v>35</v>
      </c>
      <c r="E102" s="146" t="s">
        <v>190</v>
      </c>
      <c r="F102" s="148" t="s">
        <v>89</v>
      </c>
      <c r="G102" s="149">
        <v>21428015.190000001</v>
      </c>
      <c r="H102" s="149">
        <v>857120.61</v>
      </c>
      <c r="I102" s="149">
        <f t="shared" si="18"/>
        <v>4499883.1900000004</v>
      </c>
      <c r="J102" s="150">
        <f t="shared" si="24"/>
        <v>534356.98000000045</v>
      </c>
      <c r="K102" s="149">
        <f t="shared" si="20"/>
        <v>26785018.990000002</v>
      </c>
      <c r="L102" s="151">
        <v>26250662.010000002</v>
      </c>
      <c r="M102" s="152">
        <f t="shared" si="31"/>
        <v>-1.9949845105560637E-2</v>
      </c>
      <c r="N102" s="153" t="s">
        <v>75</v>
      </c>
      <c r="O102" s="145">
        <v>46182</v>
      </c>
      <c r="P102" s="145">
        <v>46182</v>
      </c>
      <c r="Q102" s="153" t="s">
        <v>72</v>
      </c>
      <c r="R102" s="153" t="str">
        <f t="shared" si="21"/>
        <v>junio</v>
      </c>
      <c r="S102" s="145">
        <f t="shared" ref="S102:S103" si="32">+A102+60</f>
        <v>46180</v>
      </c>
      <c r="T102" s="14">
        <f t="shared" si="25"/>
        <v>62</v>
      </c>
      <c r="U102" s="14" t="str">
        <f t="shared" si="22"/>
        <v>abril</v>
      </c>
    </row>
    <row r="103" spans="1:21" x14ac:dyDescent="0.25">
      <c r="A103" s="145">
        <v>46120</v>
      </c>
      <c r="B103" s="146" t="s">
        <v>68</v>
      </c>
      <c r="C103" s="147" t="s">
        <v>241</v>
      </c>
      <c r="D103" s="156" t="s">
        <v>36</v>
      </c>
      <c r="E103" s="146" t="s">
        <v>190</v>
      </c>
      <c r="F103" s="148" t="s">
        <v>91</v>
      </c>
      <c r="G103" s="149">
        <v>2492899.21</v>
      </c>
      <c r="H103" s="149">
        <v>0</v>
      </c>
      <c r="I103" s="149">
        <f t="shared" si="18"/>
        <v>523508.83</v>
      </c>
      <c r="J103" s="150">
        <v>27442352.779999997</v>
      </c>
      <c r="K103" s="149">
        <f t="shared" si="20"/>
        <v>3016408.04</v>
      </c>
      <c r="L103" s="151">
        <f>+K103*98%</f>
        <v>2956079.8791999999</v>
      </c>
      <c r="M103" s="152">
        <f t="shared" si="31"/>
        <v>-2.0000000000000018E-2</v>
      </c>
      <c r="N103" s="153" t="s">
        <v>75</v>
      </c>
      <c r="O103" s="145">
        <v>46181</v>
      </c>
      <c r="P103" s="145">
        <v>46181</v>
      </c>
      <c r="Q103" s="153" t="s">
        <v>72</v>
      </c>
      <c r="R103" s="153" t="str">
        <f t="shared" si="21"/>
        <v>junio</v>
      </c>
      <c r="S103" s="145">
        <f t="shared" si="32"/>
        <v>46180</v>
      </c>
      <c r="T103" s="14">
        <v>-46028</v>
      </c>
      <c r="U103" s="14" t="str">
        <f t="shared" si="22"/>
        <v>abril</v>
      </c>
    </row>
    <row r="104" spans="1:21" ht="13.9" customHeight="1" x14ac:dyDescent="0.25">
      <c r="A104" s="145">
        <v>46121</v>
      </c>
      <c r="B104" s="146" t="s">
        <v>68</v>
      </c>
      <c r="C104" s="147" t="s">
        <v>242</v>
      </c>
      <c r="D104" s="148" t="s">
        <v>39</v>
      </c>
      <c r="E104" s="146" t="s">
        <v>243</v>
      </c>
      <c r="F104" s="148" t="s">
        <v>117</v>
      </c>
      <c r="G104" s="149">
        <v>20401920</v>
      </c>
      <c r="H104" s="149">
        <v>408038.40000000002</v>
      </c>
      <c r="I104" s="149">
        <f t="shared" si="18"/>
        <v>4284403.2</v>
      </c>
      <c r="J104" s="150">
        <f t="shared" ref="J104:J105" si="33">+K104-L104</f>
        <v>501887.23200000077</v>
      </c>
      <c r="K104" s="149">
        <f t="shared" si="20"/>
        <v>25094361.599999998</v>
      </c>
      <c r="L104" s="151">
        <f>+K104*98%</f>
        <v>24592474.367999997</v>
      </c>
      <c r="M104" s="152">
        <f t="shared" si="31"/>
        <v>-2.0000000000000018E-2</v>
      </c>
      <c r="N104" s="146" t="s">
        <v>75</v>
      </c>
      <c r="O104" s="145">
        <v>46164</v>
      </c>
      <c r="P104" s="145">
        <v>46164</v>
      </c>
      <c r="Q104" s="146" t="s">
        <v>72</v>
      </c>
      <c r="R104" s="153" t="str">
        <f t="shared" si="21"/>
        <v>mayo</v>
      </c>
      <c r="S104" s="145">
        <f>+A104+45</f>
        <v>46166</v>
      </c>
      <c r="T104" s="14">
        <f t="shared" ref="T104:T105" si="34">+O104-A104</f>
        <v>43</v>
      </c>
      <c r="U104" s="14" t="str">
        <f t="shared" si="22"/>
        <v>abril</v>
      </c>
    </row>
    <row r="105" spans="1:21" x14ac:dyDescent="0.25">
      <c r="A105" s="145">
        <v>46121</v>
      </c>
      <c r="B105" s="146" t="s">
        <v>68</v>
      </c>
      <c r="C105" s="147" t="s">
        <v>244</v>
      </c>
      <c r="D105" s="148" t="s">
        <v>37</v>
      </c>
      <c r="E105" s="146" t="s">
        <v>190</v>
      </c>
      <c r="F105" s="148" t="s">
        <v>102</v>
      </c>
      <c r="G105" s="149">
        <v>22294362.93</v>
      </c>
      <c r="H105" s="149">
        <v>1114718.1499999999</v>
      </c>
      <c r="I105" s="149">
        <f t="shared" si="18"/>
        <v>4681816.22</v>
      </c>
      <c r="J105" s="150">
        <f t="shared" si="33"/>
        <v>557359.06999999657</v>
      </c>
      <c r="K105" s="154">
        <f t="shared" si="20"/>
        <v>28090897.299999997</v>
      </c>
      <c r="L105" s="151">
        <v>27533538.23</v>
      </c>
      <c r="M105" s="152">
        <f t="shared" si="31"/>
        <v>-1.9841269719782062E-2</v>
      </c>
      <c r="N105" s="146" t="s">
        <v>75</v>
      </c>
      <c r="O105" s="145">
        <v>46183</v>
      </c>
      <c r="P105" s="145">
        <v>46183</v>
      </c>
      <c r="Q105" s="146" t="s">
        <v>72</v>
      </c>
      <c r="R105" s="153" t="str">
        <f t="shared" si="21"/>
        <v>junio</v>
      </c>
      <c r="S105" s="145">
        <f t="shared" ref="S105:S110" si="35">+A105+60</f>
        <v>46181</v>
      </c>
      <c r="T105" s="14">
        <f t="shared" si="34"/>
        <v>62</v>
      </c>
      <c r="U105" s="14" t="str">
        <f t="shared" si="22"/>
        <v>abril</v>
      </c>
    </row>
    <row r="106" spans="1:21" ht="15" customHeight="1" x14ac:dyDescent="0.25">
      <c r="A106" s="145">
        <v>46121</v>
      </c>
      <c r="B106" s="146" t="s">
        <v>68</v>
      </c>
      <c r="C106" s="147" t="s">
        <v>245</v>
      </c>
      <c r="D106" s="156" t="s">
        <v>36</v>
      </c>
      <c r="E106" s="146" t="s">
        <v>190</v>
      </c>
      <c r="F106" s="148" t="s">
        <v>91</v>
      </c>
      <c r="G106" s="149">
        <v>5966552.2400000002</v>
      </c>
      <c r="H106" s="149">
        <v>0</v>
      </c>
      <c r="I106" s="149">
        <f t="shared" si="18"/>
        <v>1252975.97</v>
      </c>
      <c r="J106" s="150">
        <v>27442352.779999997</v>
      </c>
      <c r="K106" s="149">
        <f t="shared" si="20"/>
        <v>7219528.21</v>
      </c>
      <c r="L106" s="151">
        <f>10068090.62-L103</f>
        <v>7112010.7407999989</v>
      </c>
      <c r="M106" s="152">
        <f t="shared" si="31"/>
        <v>-1.4892589387084265E-2</v>
      </c>
      <c r="N106" s="153" t="s">
        <v>75</v>
      </c>
      <c r="O106" s="145">
        <v>46181</v>
      </c>
      <c r="P106" s="145">
        <v>46181</v>
      </c>
      <c r="Q106" s="153" t="s">
        <v>72</v>
      </c>
      <c r="R106" s="153" t="str">
        <f t="shared" si="21"/>
        <v>junio</v>
      </c>
      <c r="S106" s="145">
        <f t="shared" si="35"/>
        <v>46181</v>
      </c>
      <c r="T106" s="14">
        <v>-46028</v>
      </c>
      <c r="U106" s="14" t="str">
        <f t="shared" si="22"/>
        <v>abril</v>
      </c>
    </row>
    <row r="107" spans="1:21" ht="13.9" customHeight="1" x14ac:dyDescent="0.25">
      <c r="A107" s="145">
        <v>46121</v>
      </c>
      <c r="B107" s="146" t="s">
        <v>68</v>
      </c>
      <c r="C107" s="147" t="s">
        <v>246</v>
      </c>
      <c r="D107" s="156" t="s">
        <v>35</v>
      </c>
      <c r="E107" s="146" t="s">
        <v>190</v>
      </c>
      <c r="F107" s="148" t="s">
        <v>89</v>
      </c>
      <c r="G107" s="149">
        <v>45461559.969999999</v>
      </c>
      <c r="H107" s="149">
        <v>1818462.4</v>
      </c>
      <c r="I107" s="149">
        <f t="shared" si="18"/>
        <v>9546927.5899999999</v>
      </c>
      <c r="J107" s="150">
        <f t="shared" ref="J107:J117" si="36">+K107-L107</f>
        <v>1136538.9999999925</v>
      </c>
      <c r="K107" s="149">
        <f t="shared" si="20"/>
        <v>56826949.959999993</v>
      </c>
      <c r="L107" s="151">
        <v>55690410.960000001</v>
      </c>
      <c r="M107" s="152">
        <f t="shared" si="31"/>
        <v>-2.0000000014077646E-2</v>
      </c>
      <c r="N107" s="153" t="s">
        <v>75</v>
      </c>
      <c r="O107" s="145">
        <v>46184</v>
      </c>
      <c r="P107" s="145">
        <v>46184</v>
      </c>
      <c r="Q107" s="153" t="s">
        <v>72</v>
      </c>
      <c r="R107" s="153" t="str">
        <f t="shared" si="21"/>
        <v>junio</v>
      </c>
      <c r="S107" s="145">
        <f t="shared" si="35"/>
        <v>46181</v>
      </c>
      <c r="T107" s="14">
        <f t="shared" ref="T107" si="37">+O107-A107</f>
        <v>63</v>
      </c>
      <c r="U107" s="14" t="str">
        <f t="shared" si="22"/>
        <v>abril</v>
      </c>
    </row>
    <row r="108" spans="1:21" ht="13.15" customHeight="1" x14ac:dyDescent="0.25">
      <c r="A108" s="145">
        <v>46121</v>
      </c>
      <c r="B108" s="146" t="s">
        <v>68</v>
      </c>
      <c r="C108" s="147" t="s">
        <v>247</v>
      </c>
      <c r="D108" s="148" t="s">
        <v>37</v>
      </c>
      <c r="E108" s="146" t="s">
        <v>190</v>
      </c>
      <c r="F108" s="148" t="s">
        <v>102</v>
      </c>
      <c r="G108" s="149">
        <v>9337581.25</v>
      </c>
      <c r="H108" s="149">
        <v>466879.06</v>
      </c>
      <c r="I108" s="149">
        <f t="shared" si="18"/>
        <v>1960892.06</v>
      </c>
      <c r="J108" s="150">
        <f t="shared" si="36"/>
        <v>11765352.370000001</v>
      </c>
      <c r="K108" s="154">
        <f t="shared" si="20"/>
        <v>11765352.370000001</v>
      </c>
      <c r="L108" s="151">
        <v>0</v>
      </c>
      <c r="M108" s="152">
        <f t="shared" si="31"/>
        <v>-1</v>
      </c>
      <c r="N108" s="146" t="s">
        <v>143</v>
      </c>
      <c r="O108" s="146" t="s">
        <v>143</v>
      </c>
      <c r="P108" s="146" t="s">
        <v>143</v>
      </c>
      <c r="Q108" s="146" t="s">
        <v>143</v>
      </c>
      <c r="R108" s="153" t="str">
        <f t="shared" si="21"/>
        <v>junio</v>
      </c>
      <c r="S108" s="145">
        <f t="shared" si="35"/>
        <v>46181</v>
      </c>
      <c r="T108" s="14" t="s">
        <v>143</v>
      </c>
      <c r="U108" s="14" t="str">
        <f t="shared" si="22"/>
        <v>abril</v>
      </c>
    </row>
    <row r="109" spans="1:21" ht="13.15" customHeight="1" x14ac:dyDescent="0.25">
      <c r="A109" s="145">
        <v>46121</v>
      </c>
      <c r="B109" s="146" t="s">
        <v>140</v>
      </c>
      <c r="C109" s="147" t="s">
        <v>248</v>
      </c>
      <c r="D109" s="148" t="s">
        <v>37</v>
      </c>
      <c r="E109" s="146" t="s">
        <v>249</v>
      </c>
      <c r="F109" s="148" t="s">
        <v>102</v>
      </c>
      <c r="G109" s="149">
        <v>-9337581.25</v>
      </c>
      <c r="H109" s="149">
        <v>-466879.06</v>
      </c>
      <c r="I109" s="149">
        <f t="shared" si="18"/>
        <v>-1960892.06</v>
      </c>
      <c r="J109" s="150">
        <f t="shared" si="36"/>
        <v>-11765352.370000001</v>
      </c>
      <c r="K109" s="154">
        <f t="shared" si="20"/>
        <v>-11765352.370000001</v>
      </c>
      <c r="L109" s="151">
        <v>0</v>
      </c>
      <c r="M109" s="152">
        <f t="shared" si="31"/>
        <v>-1</v>
      </c>
      <c r="N109" s="146" t="s">
        <v>143</v>
      </c>
      <c r="O109" s="146" t="s">
        <v>143</v>
      </c>
      <c r="P109" s="146" t="s">
        <v>143</v>
      </c>
      <c r="Q109" s="146" t="s">
        <v>143</v>
      </c>
      <c r="R109" s="153" t="str">
        <f t="shared" si="21"/>
        <v>junio</v>
      </c>
      <c r="S109" s="145">
        <f t="shared" si="35"/>
        <v>46181</v>
      </c>
      <c r="T109" s="14" t="s">
        <v>143</v>
      </c>
      <c r="U109" s="14" t="str">
        <f t="shared" si="22"/>
        <v>abril</v>
      </c>
    </row>
    <row r="110" spans="1:21" ht="13.9" customHeight="1" x14ac:dyDescent="0.25">
      <c r="A110" s="145">
        <v>46121</v>
      </c>
      <c r="B110" s="146" t="s">
        <v>68</v>
      </c>
      <c r="C110" s="147" t="s">
        <v>250</v>
      </c>
      <c r="D110" s="148" t="s">
        <v>37</v>
      </c>
      <c r="E110" s="146" t="s">
        <v>190</v>
      </c>
      <c r="F110" s="148" t="s">
        <v>102</v>
      </c>
      <c r="G110" s="149">
        <v>9356112.6899999995</v>
      </c>
      <c r="H110" s="149">
        <v>467805.63</v>
      </c>
      <c r="I110" s="149">
        <f t="shared" si="18"/>
        <v>1964783.66</v>
      </c>
      <c r="J110" s="150">
        <f t="shared" si="36"/>
        <v>232559.41000000015</v>
      </c>
      <c r="K110" s="154">
        <f t="shared" si="20"/>
        <v>11788701.98</v>
      </c>
      <c r="L110" s="151">
        <v>11556142.57</v>
      </c>
      <c r="M110" s="152">
        <f t="shared" si="31"/>
        <v>-1.9727312675691167E-2</v>
      </c>
      <c r="N110" s="146" t="s">
        <v>75</v>
      </c>
      <c r="O110" s="145">
        <v>46182</v>
      </c>
      <c r="P110" s="145">
        <v>46182</v>
      </c>
      <c r="Q110" s="146" t="s">
        <v>72</v>
      </c>
      <c r="R110" s="153" t="str">
        <f t="shared" si="21"/>
        <v>junio</v>
      </c>
      <c r="S110" s="145">
        <f t="shared" si="35"/>
        <v>46181</v>
      </c>
      <c r="T110" s="14">
        <f t="shared" ref="T110:T124" si="38">+O110-A110</f>
        <v>61</v>
      </c>
      <c r="U110" s="14" t="str">
        <f t="shared" si="22"/>
        <v>abril</v>
      </c>
    </row>
    <row r="111" spans="1:21" x14ac:dyDescent="0.25">
      <c r="A111" s="145">
        <v>46122</v>
      </c>
      <c r="B111" s="146" t="s">
        <v>68</v>
      </c>
      <c r="C111" s="147" t="s">
        <v>251</v>
      </c>
      <c r="D111" s="148" t="s">
        <v>127</v>
      </c>
      <c r="E111" s="146" t="s">
        <v>252</v>
      </c>
      <c r="F111" s="148" t="s">
        <v>129</v>
      </c>
      <c r="G111" s="149">
        <v>945949543.48000002</v>
      </c>
      <c r="H111" s="149">
        <v>2837848.63</v>
      </c>
      <c r="I111" s="149">
        <f t="shared" si="18"/>
        <v>198649404.13</v>
      </c>
      <c r="J111" s="150">
        <f t="shared" si="36"/>
        <v>192027757.33000004</v>
      </c>
      <c r="K111" s="149">
        <f t="shared" si="20"/>
        <v>1147436796.24</v>
      </c>
      <c r="L111" s="151">
        <f>952571190.28+2837848.63</f>
        <v>955409038.90999997</v>
      </c>
      <c r="M111" s="152">
        <f>(L111/K111)-1</f>
        <v>-0.16735366859355549</v>
      </c>
      <c r="N111" s="146" t="s">
        <v>75</v>
      </c>
      <c r="O111" s="145">
        <v>46142</v>
      </c>
      <c r="P111" s="145" t="s">
        <v>357</v>
      </c>
      <c r="Q111" s="146" t="s">
        <v>72</v>
      </c>
      <c r="R111" s="153" t="str">
        <f t="shared" si="21"/>
        <v>mayo</v>
      </c>
      <c r="S111" s="145">
        <f>+A111+30</f>
        <v>46152</v>
      </c>
      <c r="T111" s="14">
        <f t="shared" si="38"/>
        <v>20</v>
      </c>
      <c r="U111" s="14" t="str">
        <f t="shared" si="22"/>
        <v>abril</v>
      </c>
    </row>
    <row r="112" spans="1:21" ht="13.15" customHeight="1" x14ac:dyDescent="0.25">
      <c r="A112" s="145">
        <v>46125</v>
      </c>
      <c r="B112" s="146" t="s">
        <v>68</v>
      </c>
      <c r="C112" s="147" t="s">
        <v>253</v>
      </c>
      <c r="D112" s="156" t="s">
        <v>35</v>
      </c>
      <c r="E112" s="146" t="s">
        <v>190</v>
      </c>
      <c r="F112" s="148" t="s">
        <v>89</v>
      </c>
      <c r="G112" s="149">
        <v>51716516.75</v>
      </c>
      <c r="H112" s="149">
        <v>2068660.67</v>
      </c>
      <c r="I112" s="149">
        <f t="shared" si="18"/>
        <v>10860468.52</v>
      </c>
      <c r="J112" s="150">
        <f t="shared" si="36"/>
        <v>1292912.9199999943</v>
      </c>
      <c r="K112" s="149">
        <f t="shared" si="20"/>
        <v>64645645.939999998</v>
      </c>
      <c r="L112" s="151">
        <v>63352733.020000003</v>
      </c>
      <c r="M112" s="152">
        <f t="shared" ref="M112:M117" si="39">(L112/K112)-1</f>
        <v>-2.0000000018562614E-2</v>
      </c>
      <c r="N112" s="153" t="s">
        <v>75</v>
      </c>
      <c r="O112" s="145">
        <v>46185</v>
      </c>
      <c r="P112" s="145">
        <v>46185</v>
      </c>
      <c r="Q112" s="153" t="s">
        <v>72</v>
      </c>
      <c r="R112" s="153" t="str">
        <f t="shared" si="21"/>
        <v>junio</v>
      </c>
      <c r="S112" s="145">
        <f t="shared" ref="S112" si="40">+A112+60</f>
        <v>46185</v>
      </c>
      <c r="T112" s="14">
        <f t="shared" si="38"/>
        <v>60</v>
      </c>
      <c r="U112" s="14" t="str">
        <f t="shared" si="22"/>
        <v>abril</v>
      </c>
    </row>
    <row r="113" spans="1:21" ht="13.15" customHeight="1" x14ac:dyDescent="0.25">
      <c r="A113" s="145">
        <v>46125</v>
      </c>
      <c r="B113" s="146" t="s">
        <v>68</v>
      </c>
      <c r="C113" s="147" t="s">
        <v>254</v>
      </c>
      <c r="D113" s="148" t="s">
        <v>39</v>
      </c>
      <c r="E113" s="146" t="s">
        <v>255</v>
      </c>
      <c r="F113" s="148" t="s">
        <v>117</v>
      </c>
      <c r="G113" s="149">
        <v>230670700.22999999</v>
      </c>
      <c r="H113" s="149">
        <v>4613414</v>
      </c>
      <c r="I113" s="149">
        <f t="shared" si="18"/>
        <v>48440847.049999997</v>
      </c>
      <c r="J113" s="150">
        <f t="shared" si="36"/>
        <v>5777735.7529999614</v>
      </c>
      <c r="K113" s="149">
        <f t="shared" si="20"/>
        <v>283724961.27999997</v>
      </c>
      <c r="L113" s="151">
        <f>313573587.27-L98-L104</f>
        <v>277947225.52700001</v>
      </c>
      <c r="M113" s="152">
        <f t="shared" si="39"/>
        <v>-2.0363861279367956E-2</v>
      </c>
      <c r="N113" s="146" t="s">
        <v>75</v>
      </c>
      <c r="O113" s="145">
        <v>46164</v>
      </c>
      <c r="P113" s="145">
        <v>46164</v>
      </c>
      <c r="Q113" s="146" t="s">
        <v>72</v>
      </c>
      <c r="R113" s="153" t="str">
        <f t="shared" si="21"/>
        <v>mayo</v>
      </c>
      <c r="S113" s="145">
        <f>+A113+45</f>
        <v>46170</v>
      </c>
      <c r="T113" s="14">
        <f t="shared" si="38"/>
        <v>39</v>
      </c>
      <c r="U113" s="14" t="str">
        <f t="shared" si="22"/>
        <v>abril</v>
      </c>
    </row>
    <row r="114" spans="1:21" x14ac:dyDescent="0.25">
      <c r="A114" s="145">
        <v>46125</v>
      </c>
      <c r="B114" s="146" t="s">
        <v>68</v>
      </c>
      <c r="C114" s="147" t="s">
        <v>256</v>
      </c>
      <c r="D114" s="148" t="s">
        <v>38</v>
      </c>
      <c r="E114" s="146" t="s">
        <v>257</v>
      </c>
      <c r="F114" s="148" t="s">
        <v>114</v>
      </c>
      <c r="G114" s="149">
        <v>75569297.700000003</v>
      </c>
      <c r="H114" s="149">
        <v>0</v>
      </c>
      <c r="I114" s="149">
        <f t="shared" si="18"/>
        <v>15869552.52</v>
      </c>
      <c r="J114" s="150">
        <f t="shared" si="36"/>
        <v>91438850.219999999</v>
      </c>
      <c r="K114" s="149">
        <f t="shared" si="20"/>
        <v>91438850.219999999</v>
      </c>
      <c r="L114" s="151"/>
      <c r="M114" s="152">
        <f t="shared" si="39"/>
        <v>-1</v>
      </c>
      <c r="N114" s="146" t="s">
        <v>71</v>
      </c>
      <c r="O114" s="145">
        <v>46245</v>
      </c>
      <c r="P114" s="145"/>
      <c r="Q114" s="146"/>
      <c r="R114" s="153" t="str">
        <f t="shared" si="21"/>
        <v>junio</v>
      </c>
      <c r="S114" s="145">
        <f>+A114+60</f>
        <v>46185</v>
      </c>
      <c r="T114" s="14">
        <f t="shared" si="38"/>
        <v>120</v>
      </c>
      <c r="U114" s="14" t="str">
        <f t="shared" si="22"/>
        <v>abril</v>
      </c>
    </row>
    <row r="115" spans="1:21" x14ac:dyDescent="0.25">
      <c r="A115" s="145">
        <v>46127</v>
      </c>
      <c r="B115" s="146" t="s">
        <v>68</v>
      </c>
      <c r="C115" s="147" t="s">
        <v>258</v>
      </c>
      <c r="D115" s="148" t="s">
        <v>34</v>
      </c>
      <c r="E115" s="146" t="s">
        <v>190</v>
      </c>
      <c r="F115" s="148" t="s">
        <v>87</v>
      </c>
      <c r="G115" s="149">
        <v>20283497.469999999</v>
      </c>
      <c r="H115" s="149">
        <v>0</v>
      </c>
      <c r="I115" s="149">
        <f t="shared" si="18"/>
        <v>4259534.47</v>
      </c>
      <c r="J115" s="150">
        <f t="shared" si="36"/>
        <v>4035072.5999999978</v>
      </c>
      <c r="K115" s="149">
        <f t="shared" si="20"/>
        <v>24543031.939999998</v>
      </c>
      <c r="L115" s="151">
        <v>20507959.34</v>
      </c>
      <c r="M115" s="152">
        <f t="shared" si="39"/>
        <v>-0.16440807353649223</v>
      </c>
      <c r="N115" s="146" t="s">
        <v>71</v>
      </c>
      <c r="O115" s="145">
        <v>46162</v>
      </c>
      <c r="P115" s="145">
        <v>46164</v>
      </c>
      <c r="Q115" s="146" t="s">
        <v>72</v>
      </c>
      <c r="R115" s="153" t="str">
        <f t="shared" si="21"/>
        <v>mayo</v>
      </c>
      <c r="S115" s="145">
        <f>+A115+30</f>
        <v>46157</v>
      </c>
      <c r="T115" s="14">
        <f t="shared" si="38"/>
        <v>35</v>
      </c>
      <c r="U115" s="14" t="str">
        <f t="shared" si="22"/>
        <v>abril</v>
      </c>
    </row>
    <row r="116" spans="1:21" x14ac:dyDescent="0.25">
      <c r="A116" s="145">
        <v>46127</v>
      </c>
      <c r="B116" s="146" t="s">
        <v>68</v>
      </c>
      <c r="C116" s="147" t="s">
        <v>259</v>
      </c>
      <c r="D116" s="148" t="s">
        <v>123</v>
      </c>
      <c r="E116" s="146" t="s">
        <v>260</v>
      </c>
      <c r="F116" s="148" t="s">
        <v>125</v>
      </c>
      <c r="G116" s="149">
        <v>57605737.590000004</v>
      </c>
      <c r="H116" s="149">
        <v>921691.8</v>
      </c>
      <c r="I116" s="149">
        <f t="shared" si="18"/>
        <v>12097204.890000001</v>
      </c>
      <c r="J116" s="150">
        <f t="shared" si="36"/>
        <v>1438800.0400000066</v>
      </c>
      <c r="K116" s="154">
        <f t="shared" si="20"/>
        <v>70624634.280000001</v>
      </c>
      <c r="L116" s="151">
        <v>69185834.239999995</v>
      </c>
      <c r="M116" s="152">
        <f t="shared" si="39"/>
        <v>-2.0372495442535055E-2</v>
      </c>
      <c r="N116" s="155" t="s">
        <v>75</v>
      </c>
      <c r="O116" s="145">
        <v>46146</v>
      </c>
      <c r="P116" s="145">
        <v>46146</v>
      </c>
      <c r="Q116" s="146" t="s">
        <v>72</v>
      </c>
      <c r="R116" s="153" t="str">
        <f t="shared" si="21"/>
        <v>mayo</v>
      </c>
      <c r="S116" s="145">
        <f t="shared" ref="S116:S117" si="41">+A116+30</f>
        <v>46157</v>
      </c>
      <c r="T116" s="14">
        <f t="shared" si="38"/>
        <v>19</v>
      </c>
      <c r="U116" s="14" t="str">
        <f t="shared" si="22"/>
        <v>abril</v>
      </c>
    </row>
    <row r="117" spans="1:21" x14ac:dyDescent="0.25">
      <c r="A117" s="145">
        <v>46127</v>
      </c>
      <c r="B117" s="146" t="s">
        <v>68</v>
      </c>
      <c r="C117" s="147" t="s">
        <v>261</v>
      </c>
      <c r="D117" s="148" t="s">
        <v>123</v>
      </c>
      <c r="E117" s="146" t="s">
        <v>229</v>
      </c>
      <c r="F117" s="148" t="s">
        <v>125</v>
      </c>
      <c r="G117" s="149">
        <v>2133563</v>
      </c>
      <c r="H117" s="149">
        <v>34137.01</v>
      </c>
      <c r="I117" s="149">
        <f t="shared" si="18"/>
        <v>448048.23</v>
      </c>
      <c r="J117" s="150">
        <f t="shared" si="36"/>
        <v>53339.079999999609</v>
      </c>
      <c r="K117" s="154">
        <f t="shared" si="20"/>
        <v>2615748.2399999998</v>
      </c>
      <c r="L117" s="151">
        <v>2562409.16</v>
      </c>
      <c r="M117" s="152">
        <f t="shared" si="39"/>
        <v>-2.0391519024781868E-2</v>
      </c>
      <c r="N117" s="155" t="s">
        <v>75</v>
      </c>
      <c r="O117" s="145">
        <v>46149</v>
      </c>
      <c r="P117" s="145">
        <v>46149</v>
      </c>
      <c r="Q117" s="146" t="s">
        <v>72</v>
      </c>
      <c r="R117" s="153" t="str">
        <f t="shared" si="21"/>
        <v>mayo</v>
      </c>
      <c r="S117" s="145">
        <f t="shared" si="41"/>
        <v>46157</v>
      </c>
      <c r="T117" s="14">
        <f t="shared" si="38"/>
        <v>22</v>
      </c>
      <c r="U117" s="14" t="str">
        <f t="shared" si="22"/>
        <v>abril</v>
      </c>
    </row>
    <row r="118" spans="1:21" ht="13.15" customHeight="1" x14ac:dyDescent="0.25">
      <c r="A118" s="145">
        <v>46127</v>
      </c>
      <c r="B118" s="146" t="s">
        <v>68</v>
      </c>
      <c r="C118" s="147" t="s">
        <v>263</v>
      </c>
      <c r="D118" s="148" t="s">
        <v>33</v>
      </c>
      <c r="E118" s="146" t="s">
        <v>264</v>
      </c>
      <c r="F118" s="148" t="s">
        <v>82</v>
      </c>
      <c r="G118" s="149">
        <v>1614233.74</v>
      </c>
      <c r="H118" s="149">
        <v>20985.040000000001</v>
      </c>
      <c r="I118" s="149">
        <f t="shared" si="18"/>
        <v>338989.09</v>
      </c>
      <c r="J118" s="150">
        <f>+K118-L118</f>
        <v>39012.440000000177</v>
      </c>
      <c r="K118" s="154">
        <f t="shared" si="20"/>
        <v>1974207.87</v>
      </c>
      <c r="L118" s="151">
        <v>1935195.43</v>
      </c>
      <c r="M118" s="152">
        <f>(L118/K118)-1</f>
        <v>-1.9761059913108392E-2</v>
      </c>
      <c r="N118" s="146" t="s">
        <v>75</v>
      </c>
      <c r="O118" s="145">
        <v>46157</v>
      </c>
      <c r="P118" s="145">
        <v>46162</v>
      </c>
      <c r="Q118" s="146" t="s">
        <v>72</v>
      </c>
      <c r="R118" s="153" t="str">
        <f t="shared" si="21"/>
        <v>mayo</v>
      </c>
      <c r="S118" s="145">
        <f>+A118+30</f>
        <v>46157</v>
      </c>
      <c r="T118" s="14">
        <f t="shared" si="38"/>
        <v>30</v>
      </c>
      <c r="U118" s="14" t="str">
        <f t="shared" si="22"/>
        <v>abril</v>
      </c>
    </row>
    <row r="119" spans="1:21" ht="13.9" customHeight="1" x14ac:dyDescent="0.25">
      <c r="A119" s="145">
        <v>46133</v>
      </c>
      <c r="B119" s="146" t="s">
        <v>68</v>
      </c>
      <c r="C119" s="147" t="s">
        <v>265</v>
      </c>
      <c r="D119" s="148" t="s">
        <v>40</v>
      </c>
      <c r="E119" s="146" t="s">
        <v>266</v>
      </c>
      <c r="F119" s="148" t="s">
        <v>149</v>
      </c>
      <c r="G119" s="149">
        <v>23351596.93</v>
      </c>
      <c r="H119" s="149">
        <v>408652.95</v>
      </c>
      <c r="I119" s="149">
        <f t="shared" si="18"/>
        <v>4903835.3600000003</v>
      </c>
      <c r="J119" s="150">
        <f t="shared" ref="J119:J148" si="42">+K119-L119</f>
        <v>28664085.239999998</v>
      </c>
      <c r="K119" s="149">
        <f t="shared" si="20"/>
        <v>28664085.239999998</v>
      </c>
      <c r="L119" s="151"/>
      <c r="M119" s="152">
        <f t="shared" ref="M119:M122" si="43">(L119/K119)-1</f>
        <v>-1</v>
      </c>
      <c r="N119" s="146"/>
      <c r="O119" s="145"/>
      <c r="P119" s="145"/>
      <c r="Q119" s="146"/>
      <c r="R119" s="153" t="str">
        <f t="shared" si="21"/>
        <v>mayo</v>
      </c>
      <c r="S119" s="145">
        <f>+A119+30</f>
        <v>46163</v>
      </c>
      <c r="T119" s="14">
        <f t="shared" si="38"/>
        <v>-46133</v>
      </c>
      <c r="U119" s="14" t="str">
        <f t="shared" si="22"/>
        <v>abril</v>
      </c>
    </row>
    <row r="120" spans="1:21" x14ac:dyDescent="0.25">
      <c r="A120" s="145">
        <v>46133</v>
      </c>
      <c r="B120" s="146" t="s">
        <v>68</v>
      </c>
      <c r="C120" s="147" t="s">
        <v>267</v>
      </c>
      <c r="D120" s="156" t="s">
        <v>35</v>
      </c>
      <c r="E120" s="146" t="s">
        <v>268</v>
      </c>
      <c r="F120" s="148" t="s">
        <v>89</v>
      </c>
      <c r="G120" s="149">
        <v>170000</v>
      </c>
      <c r="H120" s="149">
        <v>6800</v>
      </c>
      <c r="I120" s="149">
        <f t="shared" si="18"/>
        <v>35700</v>
      </c>
      <c r="J120" s="150">
        <f t="shared" si="42"/>
        <v>4250</v>
      </c>
      <c r="K120" s="149">
        <f t="shared" si="20"/>
        <v>212500</v>
      </c>
      <c r="L120" s="151">
        <v>208250</v>
      </c>
      <c r="M120" s="152">
        <f t="shared" si="43"/>
        <v>-2.0000000000000018E-2</v>
      </c>
      <c r="N120" s="153" t="s">
        <v>75</v>
      </c>
      <c r="O120" s="145">
        <v>46134</v>
      </c>
      <c r="P120" s="145">
        <v>46134</v>
      </c>
      <c r="Q120" s="153" t="s">
        <v>72</v>
      </c>
      <c r="R120" s="153" t="str">
        <f t="shared" si="21"/>
        <v>abril</v>
      </c>
      <c r="S120" s="145">
        <f>+A120+7</f>
        <v>46140</v>
      </c>
      <c r="T120" s="14">
        <f t="shared" si="38"/>
        <v>1</v>
      </c>
      <c r="U120" s="14" t="str">
        <f t="shared" si="22"/>
        <v>abril</v>
      </c>
    </row>
    <row r="121" spans="1:21" ht="13.9" customHeight="1" x14ac:dyDescent="0.25">
      <c r="A121" s="145">
        <v>46146</v>
      </c>
      <c r="B121" s="146" t="s">
        <v>68</v>
      </c>
      <c r="C121" s="147" t="s">
        <v>269</v>
      </c>
      <c r="D121" s="148" t="s">
        <v>32</v>
      </c>
      <c r="E121" s="146" t="s">
        <v>234</v>
      </c>
      <c r="F121" s="148" t="s">
        <v>74</v>
      </c>
      <c r="G121" s="149">
        <v>501538078.18000001</v>
      </c>
      <c r="H121" s="149">
        <v>0</v>
      </c>
      <c r="I121" s="149">
        <f t="shared" si="18"/>
        <v>105322996.42</v>
      </c>
      <c r="J121" s="150">
        <f t="shared" si="42"/>
        <v>99804734.150000036</v>
      </c>
      <c r="K121" s="149">
        <f t="shared" si="20"/>
        <v>606861074.60000002</v>
      </c>
      <c r="L121" s="151">
        <v>507056340.44999999</v>
      </c>
      <c r="M121" s="152">
        <f t="shared" si="43"/>
        <v>-0.16446059621765041</v>
      </c>
      <c r="N121" s="146" t="s">
        <v>75</v>
      </c>
      <c r="O121" s="145">
        <v>46206</v>
      </c>
      <c r="P121" s="145">
        <v>46206</v>
      </c>
      <c r="Q121" s="146" t="s">
        <v>76</v>
      </c>
      <c r="R121" s="153" t="str">
        <f t="shared" si="21"/>
        <v>julio</v>
      </c>
      <c r="S121" s="145">
        <f>+A121+60</f>
        <v>46206</v>
      </c>
      <c r="T121" s="14">
        <f t="shared" si="38"/>
        <v>60</v>
      </c>
      <c r="U121" s="14" t="str">
        <f t="shared" si="22"/>
        <v>mayo</v>
      </c>
    </row>
    <row r="122" spans="1:21" x14ac:dyDescent="0.25">
      <c r="A122" s="145">
        <v>46147</v>
      </c>
      <c r="B122" s="146" t="s">
        <v>68</v>
      </c>
      <c r="C122" s="147" t="s">
        <v>270</v>
      </c>
      <c r="D122" s="148" t="s">
        <v>31</v>
      </c>
      <c r="E122" s="146" t="s">
        <v>234</v>
      </c>
      <c r="F122" s="148" t="s">
        <v>70</v>
      </c>
      <c r="G122" s="149">
        <v>55604646.43</v>
      </c>
      <c r="H122" s="149">
        <v>0</v>
      </c>
      <c r="I122" s="149">
        <f t="shared" si="18"/>
        <v>11676975.75</v>
      </c>
      <c r="J122" s="150">
        <f t="shared" si="42"/>
        <v>1166354.1800000072</v>
      </c>
      <c r="K122" s="154">
        <f t="shared" si="20"/>
        <v>67281622.180000007</v>
      </c>
      <c r="L122" s="151">
        <v>66115268</v>
      </c>
      <c r="M122" s="152">
        <f t="shared" si="43"/>
        <v>-1.7335405155357808E-2</v>
      </c>
      <c r="N122" s="146" t="s">
        <v>71</v>
      </c>
      <c r="O122" s="145">
        <v>46209</v>
      </c>
      <c r="P122" s="145">
        <v>46210</v>
      </c>
      <c r="Q122" s="146" t="s">
        <v>72</v>
      </c>
      <c r="R122" s="153" t="str">
        <f t="shared" si="21"/>
        <v>julio</v>
      </c>
      <c r="S122" s="145">
        <f>+A122+60</f>
        <v>46207</v>
      </c>
      <c r="T122" s="14">
        <f t="shared" si="38"/>
        <v>62</v>
      </c>
      <c r="U122" s="14" t="str">
        <f t="shared" si="22"/>
        <v>mayo</v>
      </c>
    </row>
    <row r="123" spans="1:21" x14ac:dyDescent="0.25">
      <c r="A123" s="145">
        <v>46147</v>
      </c>
      <c r="B123" s="146" t="s">
        <v>68</v>
      </c>
      <c r="C123" s="147" t="s">
        <v>271</v>
      </c>
      <c r="D123" s="148" t="s">
        <v>33</v>
      </c>
      <c r="E123" s="146" t="s">
        <v>272</v>
      </c>
      <c r="F123" s="148" t="s">
        <v>82</v>
      </c>
      <c r="G123" s="149">
        <v>27507748.82</v>
      </c>
      <c r="H123" s="149">
        <v>357600.73</v>
      </c>
      <c r="I123" s="149">
        <f t="shared" ref="I123:I178" si="44">ROUND((+G123*21%),2)</f>
        <v>5776627.25</v>
      </c>
      <c r="J123" s="150">
        <f>+K123-L123</f>
        <v>687693.71999999881</v>
      </c>
      <c r="K123" s="154">
        <f t="shared" si="20"/>
        <v>33641976.799999997</v>
      </c>
      <c r="L123" s="151">
        <v>32954283.079999998</v>
      </c>
      <c r="M123" s="152">
        <f>(L123/K123)-1</f>
        <v>-2.0441537192903536E-2</v>
      </c>
      <c r="N123" s="146" t="s">
        <v>75</v>
      </c>
      <c r="O123" s="145">
        <v>46171</v>
      </c>
      <c r="P123" s="145">
        <v>46171</v>
      </c>
      <c r="Q123" s="146" t="s">
        <v>72</v>
      </c>
      <c r="R123" s="153" t="str">
        <f t="shared" si="21"/>
        <v>junio</v>
      </c>
      <c r="S123" s="145">
        <f>+A123+30</f>
        <v>46177</v>
      </c>
      <c r="T123" s="14">
        <f t="shared" si="38"/>
        <v>24</v>
      </c>
      <c r="U123" s="14" t="str">
        <f t="shared" si="22"/>
        <v>mayo</v>
      </c>
    </row>
    <row r="124" spans="1:21" x14ac:dyDescent="0.25">
      <c r="A124" s="145">
        <v>46148</v>
      </c>
      <c r="B124" s="146" t="s">
        <v>68</v>
      </c>
      <c r="C124" s="147" t="s">
        <v>273</v>
      </c>
      <c r="D124" s="148" t="s">
        <v>38</v>
      </c>
      <c r="E124" s="146" t="s">
        <v>274</v>
      </c>
      <c r="F124" s="148" t="s">
        <v>114</v>
      </c>
      <c r="G124" s="149">
        <v>80061873.989999995</v>
      </c>
      <c r="H124" s="149">
        <v>0</v>
      </c>
      <c r="I124" s="149">
        <f t="shared" si="44"/>
        <v>16812993.539999999</v>
      </c>
      <c r="J124" s="150">
        <f t="shared" si="42"/>
        <v>96874867.530000001</v>
      </c>
      <c r="K124" s="149">
        <f t="shared" si="20"/>
        <v>96874867.530000001</v>
      </c>
      <c r="L124" s="151">
        <v>0</v>
      </c>
      <c r="M124" s="152">
        <v>-1</v>
      </c>
      <c r="N124" s="146" t="s">
        <v>143</v>
      </c>
      <c r="O124" s="145" t="s">
        <v>143</v>
      </c>
      <c r="P124" s="145" t="s">
        <v>143</v>
      </c>
      <c r="Q124" s="146" t="s">
        <v>143</v>
      </c>
      <c r="R124" s="153" t="str">
        <f t="shared" si="21"/>
        <v>julio</v>
      </c>
      <c r="S124" s="145">
        <f t="shared" ref="S124:S125" si="45">+A124+60</f>
        <v>46208</v>
      </c>
      <c r="T124" s="14" t="e">
        <f t="shared" si="38"/>
        <v>#VALUE!</v>
      </c>
      <c r="U124" s="14" t="str">
        <f t="shared" si="22"/>
        <v>mayo</v>
      </c>
    </row>
    <row r="125" spans="1:21" x14ac:dyDescent="0.25">
      <c r="A125" s="145">
        <v>46148</v>
      </c>
      <c r="B125" s="146" t="s">
        <v>140</v>
      </c>
      <c r="C125" s="147" t="s">
        <v>275</v>
      </c>
      <c r="D125" s="148" t="s">
        <v>38</v>
      </c>
      <c r="E125" s="146" t="s">
        <v>276</v>
      </c>
      <c r="F125" s="148" t="s">
        <v>114</v>
      </c>
      <c r="G125" s="149">
        <v>-80061873.989999995</v>
      </c>
      <c r="H125" s="149">
        <v>0</v>
      </c>
      <c r="I125" s="149">
        <f t="shared" si="44"/>
        <v>-16812993.539999999</v>
      </c>
      <c r="J125" s="150">
        <f t="shared" si="42"/>
        <v>-96874867.530000001</v>
      </c>
      <c r="K125" s="149">
        <f t="shared" si="20"/>
        <v>-96874867.530000001</v>
      </c>
      <c r="L125" s="151">
        <v>0</v>
      </c>
      <c r="M125" s="152">
        <v>-1</v>
      </c>
      <c r="N125" s="146" t="s">
        <v>143</v>
      </c>
      <c r="O125" s="145" t="s">
        <v>143</v>
      </c>
      <c r="P125" s="145" t="s">
        <v>143</v>
      </c>
      <c r="Q125" s="146" t="s">
        <v>143</v>
      </c>
      <c r="R125" s="153" t="str">
        <f t="shared" si="21"/>
        <v>julio</v>
      </c>
      <c r="S125" s="145">
        <f t="shared" si="45"/>
        <v>46208</v>
      </c>
      <c r="T125" s="14" t="s">
        <v>143</v>
      </c>
      <c r="U125" s="14" t="str">
        <f t="shared" si="22"/>
        <v>mayo</v>
      </c>
    </row>
    <row r="126" spans="1:21" ht="13.15" customHeight="1" x14ac:dyDescent="0.25">
      <c r="A126" s="145">
        <v>46148</v>
      </c>
      <c r="B126" s="146" t="s">
        <v>68</v>
      </c>
      <c r="C126" s="147" t="s">
        <v>277</v>
      </c>
      <c r="D126" s="148" t="s">
        <v>39</v>
      </c>
      <c r="E126" s="146" t="s">
        <v>278</v>
      </c>
      <c r="F126" s="148" t="s">
        <v>117</v>
      </c>
      <c r="G126" s="149">
        <v>7251370.5999999996</v>
      </c>
      <c r="H126" s="149">
        <v>145027.41</v>
      </c>
      <c r="I126" s="149">
        <f t="shared" si="44"/>
        <v>1522787.83</v>
      </c>
      <c r="J126" s="150">
        <f t="shared" si="42"/>
        <v>178383.71680000052</v>
      </c>
      <c r="K126" s="149">
        <f t="shared" si="20"/>
        <v>8919185.8399999999</v>
      </c>
      <c r="L126" s="151">
        <f>+K126*98%</f>
        <v>8740802.1231999993</v>
      </c>
      <c r="M126" s="152">
        <f t="shared" ref="M126:M137" si="46">(L126/K126)-1</f>
        <v>-2.0000000000000018E-2</v>
      </c>
      <c r="N126" s="146" t="s">
        <v>75</v>
      </c>
      <c r="O126" s="145">
        <v>46195</v>
      </c>
      <c r="P126" s="145">
        <v>46195</v>
      </c>
      <c r="Q126" s="146" t="s">
        <v>72</v>
      </c>
      <c r="R126" s="153" t="str">
        <f t="shared" si="21"/>
        <v>junio</v>
      </c>
      <c r="S126" s="145">
        <f>+A126+45</f>
        <v>46193</v>
      </c>
      <c r="T126" s="14">
        <f t="shared" ref="T126:T129" si="47">+O126-A126</f>
        <v>47</v>
      </c>
      <c r="U126" s="14" t="str">
        <f t="shared" si="22"/>
        <v>mayo</v>
      </c>
    </row>
    <row r="127" spans="1:21" x14ac:dyDescent="0.25">
      <c r="A127" s="145">
        <v>46148</v>
      </c>
      <c r="B127" s="146" t="s">
        <v>68</v>
      </c>
      <c r="C127" s="147" t="s">
        <v>279</v>
      </c>
      <c r="D127" s="148" t="s">
        <v>38</v>
      </c>
      <c r="E127" s="146" t="s">
        <v>274</v>
      </c>
      <c r="F127" s="148" t="s">
        <v>114</v>
      </c>
      <c r="G127" s="149">
        <v>80061873.989999995</v>
      </c>
      <c r="H127" s="149">
        <v>0</v>
      </c>
      <c r="I127" s="149">
        <f t="shared" si="44"/>
        <v>16812993.539999999</v>
      </c>
      <c r="J127" s="150">
        <f t="shared" si="42"/>
        <v>96874867.530000001</v>
      </c>
      <c r="K127" s="149">
        <f t="shared" si="20"/>
        <v>96874867.530000001</v>
      </c>
      <c r="L127" s="151"/>
      <c r="M127" s="152">
        <f t="shared" si="46"/>
        <v>-1</v>
      </c>
      <c r="N127" s="146" t="s">
        <v>71</v>
      </c>
      <c r="O127" s="145">
        <v>46272</v>
      </c>
      <c r="P127" s="145"/>
      <c r="Q127" s="146"/>
      <c r="R127" s="153" t="str">
        <f t="shared" si="21"/>
        <v>julio</v>
      </c>
      <c r="S127" s="145">
        <f t="shared" ref="S127:S137" si="48">+A127+60</f>
        <v>46208</v>
      </c>
      <c r="T127" s="14">
        <f t="shared" si="47"/>
        <v>124</v>
      </c>
      <c r="U127" s="14" t="str">
        <f t="shared" si="22"/>
        <v>mayo</v>
      </c>
    </row>
    <row r="128" spans="1:21" x14ac:dyDescent="0.25">
      <c r="A128" s="145">
        <v>46150</v>
      </c>
      <c r="B128" s="146" t="s">
        <v>68</v>
      </c>
      <c r="C128" s="147" t="s">
        <v>280</v>
      </c>
      <c r="D128" s="148" t="s">
        <v>38</v>
      </c>
      <c r="E128" s="146" t="s">
        <v>281</v>
      </c>
      <c r="F128" s="148" t="s">
        <v>114</v>
      </c>
      <c r="G128" s="149">
        <v>78574871.640000001</v>
      </c>
      <c r="H128" s="149">
        <v>0</v>
      </c>
      <c r="I128" s="149">
        <f t="shared" si="44"/>
        <v>16500723.039999999</v>
      </c>
      <c r="J128" s="150">
        <f t="shared" si="42"/>
        <v>95075594.680000007</v>
      </c>
      <c r="K128" s="149">
        <f t="shared" si="20"/>
        <v>95075594.680000007</v>
      </c>
      <c r="L128" s="151"/>
      <c r="M128" s="152">
        <f t="shared" si="46"/>
        <v>-1</v>
      </c>
      <c r="N128" s="146" t="s">
        <v>71</v>
      </c>
      <c r="O128" s="145">
        <v>46272</v>
      </c>
      <c r="P128" s="145"/>
      <c r="Q128" s="146"/>
      <c r="R128" s="153" t="str">
        <f t="shared" si="21"/>
        <v>julio</v>
      </c>
      <c r="S128" s="145">
        <f t="shared" si="48"/>
        <v>46210</v>
      </c>
      <c r="T128" s="14">
        <f t="shared" si="47"/>
        <v>122</v>
      </c>
      <c r="U128" s="14" t="str">
        <f t="shared" si="22"/>
        <v>mayo</v>
      </c>
    </row>
    <row r="129" spans="1:21" x14ac:dyDescent="0.25">
      <c r="A129" s="145">
        <v>46150</v>
      </c>
      <c r="B129" s="146" t="s">
        <v>68</v>
      </c>
      <c r="C129" s="147" t="s">
        <v>302</v>
      </c>
      <c r="D129" s="156" t="s">
        <v>35</v>
      </c>
      <c r="E129" s="146" t="s">
        <v>234</v>
      </c>
      <c r="F129" s="148" t="s">
        <v>89</v>
      </c>
      <c r="G129" s="149">
        <v>22999980.77</v>
      </c>
      <c r="H129" s="149">
        <v>919999.23</v>
      </c>
      <c r="I129" s="149">
        <f t="shared" si="44"/>
        <v>4829995.96</v>
      </c>
      <c r="J129" s="150">
        <f t="shared" si="42"/>
        <v>28749975.960000001</v>
      </c>
      <c r="K129" s="149">
        <f t="shared" si="20"/>
        <v>28749975.960000001</v>
      </c>
      <c r="L129" s="151"/>
      <c r="M129" s="152">
        <f t="shared" si="46"/>
        <v>-1</v>
      </c>
      <c r="N129" s="153"/>
      <c r="O129" s="145"/>
      <c r="P129" s="145"/>
      <c r="Q129" s="153"/>
      <c r="R129" s="153" t="str">
        <f t="shared" si="21"/>
        <v>julio</v>
      </c>
      <c r="S129" s="145">
        <f t="shared" si="48"/>
        <v>46210</v>
      </c>
      <c r="T129" s="14">
        <f t="shared" si="47"/>
        <v>-46150</v>
      </c>
      <c r="U129" s="14" t="str">
        <f t="shared" si="22"/>
        <v>mayo</v>
      </c>
    </row>
    <row r="130" spans="1:21" x14ac:dyDescent="0.25">
      <c r="A130" s="145">
        <v>46150</v>
      </c>
      <c r="B130" s="146" t="s">
        <v>68</v>
      </c>
      <c r="C130" s="147" t="s">
        <v>303</v>
      </c>
      <c r="D130" s="156" t="s">
        <v>36</v>
      </c>
      <c r="E130" s="146" t="s">
        <v>234</v>
      </c>
      <c r="F130" s="148" t="s">
        <v>91</v>
      </c>
      <c r="G130" s="149">
        <v>2473173.84</v>
      </c>
      <c r="H130" s="149">
        <v>0</v>
      </c>
      <c r="I130" s="149">
        <f t="shared" si="44"/>
        <v>519366.51</v>
      </c>
      <c r="J130" s="150">
        <f t="shared" si="42"/>
        <v>2992540.3499999996</v>
      </c>
      <c r="K130" s="149">
        <f t="shared" ref="K130:K178" si="49">SUM(G130:I130)</f>
        <v>2992540.3499999996</v>
      </c>
      <c r="L130" s="151"/>
      <c r="M130" s="152">
        <f t="shared" si="46"/>
        <v>-1</v>
      </c>
      <c r="N130" s="153"/>
      <c r="O130" s="145"/>
      <c r="P130" s="145"/>
      <c r="Q130" s="153"/>
      <c r="R130" s="153" t="str">
        <f t="shared" ref="R130:R178" si="50">+TEXT(S130,"mmmm")</f>
        <v>julio</v>
      </c>
      <c r="S130" s="145">
        <f t="shared" si="48"/>
        <v>46210</v>
      </c>
      <c r="T130" s="14">
        <v>-46028</v>
      </c>
      <c r="U130" s="14" t="str">
        <f t="shared" ref="U130:U178" si="51">+TEXT(A130,"mmmm")</f>
        <v>mayo</v>
      </c>
    </row>
    <row r="131" spans="1:21" x14ac:dyDescent="0.25">
      <c r="A131" s="145">
        <v>46150</v>
      </c>
      <c r="B131" s="146" t="s">
        <v>68</v>
      </c>
      <c r="C131" s="147" t="s">
        <v>304</v>
      </c>
      <c r="D131" s="148" t="s">
        <v>37</v>
      </c>
      <c r="E131" s="146" t="s">
        <v>234</v>
      </c>
      <c r="F131" s="148" t="s">
        <v>102</v>
      </c>
      <c r="G131" s="149">
        <v>9842998.5199999996</v>
      </c>
      <c r="H131" s="149">
        <v>492149.93</v>
      </c>
      <c r="I131" s="149">
        <f t="shared" si="44"/>
        <v>2067029.69</v>
      </c>
      <c r="J131" s="150">
        <f t="shared" si="42"/>
        <v>12402178.139999999</v>
      </c>
      <c r="K131" s="154">
        <f t="shared" si="49"/>
        <v>12402178.139999999</v>
      </c>
      <c r="L131" s="151">
        <v>0</v>
      </c>
      <c r="M131" s="152">
        <f t="shared" si="46"/>
        <v>-1</v>
      </c>
      <c r="N131" s="146" t="s">
        <v>143</v>
      </c>
      <c r="O131" s="145" t="s">
        <v>143</v>
      </c>
      <c r="P131" s="146" t="s">
        <v>143</v>
      </c>
      <c r="Q131" s="146" t="s">
        <v>143</v>
      </c>
      <c r="R131" s="153" t="str">
        <f t="shared" si="50"/>
        <v>julio</v>
      </c>
      <c r="S131" s="145">
        <f t="shared" si="48"/>
        <v>46210</v>
      </c>
      <c r="T131" s="14" t="e">
        <f t="shared" ref="T131" si="52">+O131-A131</f>
        <v>#VALUE!</v>
      </c>
      <c r="U131" s="14" t="str">
        <f t="shared" si="51"/>
        <v>mayo</v>
      </c>
    </row>
    <row r="132" spans="1:21" ht="13.9" customHeight="1" x14ac:dyDescent="0.25">
      <c r="A132" s="145">
        <v>46150</v>
      </c>
      <c r="B132" s="146" t="s">
        <v>140</v>
      </c>
      <c r="C132" s="147" t="s">
        <v>305</v>
      </c>
      <c r="D132" s="148" t="s">
        <v>37</v>
      </c>
      <c r="E132" s="146" t="s">
        <v>306</v>
      </c>
      <c r="F132" s="148" t="s">
        <v>102</v>
      </c>
      <c r="G132" s="149">
        <v>-9842998.5199999996</v>
      </c>
      <c r="H132" s="149">
        <v>-492149.93</v>
      </c>
      <c r="I132" s="149">
        <f t="shared" si="44"/>
        <v>-2067029.69</v>
      </c>
      <c r="J132" s="150">
        <f t="shared" si="42"/>
        <v>-12402178.139999999</v>
      </c>
      <c r="K132" s="154">
        <f t="shared" si="49"/>
        <v>-12402178.139999999</v>
      </c>
      <c r="L132" s="151">
        <v>0</v>
      </c>
      <c r="M132" s="152">
        <f t="shared" si="46"/>
        <v>-1</v>
      </c>
      <c r="N132" s="146" t="s">
        <v>143</v>
      </c>
      <c r="O132" s="145" t="s">
        <v>143</v>
      </c>
      <c r="P132" s="146" t="s">
        <v>143</v>
      </c>
      <c r="Q132" s="146" t="s">
        <v>143</v>
      </c>
      <c r="R132" s="153" t="str">
        <f t="shared" si="50"/>
        <v>julio</v>
      </c>
      <c r="S132" s="145">
        <f t="shared" si="48"/>
        <v>46210</v>
      </c>
      <c r="T132" s="14" t="s">
        <v>143</v>
      </c>
      <c r="U132" s="14" t="str">
        <f t="shared" si="51"/>
        <v>mayo</v>
      </c>
    </row>
    <row r="133" spans="1:21" x14ac:dyDescent="0.25">
      <c r="A133" s="145">
        <v>46150</v>
      </c>
      <c r="B133" s="146" t="s">
        <v>68</v>
      </c>
      <c r="C133" s="147" t="s">
        <v>307</v>
      </c>
      <c r="D133" s="148" t="s">
        <v>37</v>
      </c>
      <c r="E133" s="146" t="s">
        <v>234</v>
      </c>
      <c r="F133" s="148" t="s">
        <v>102</v>
      </c>
      <c r="G133" s="149">
        <v>10058573.18</v>
      </c>
      <c r="H133" s="149">
        <v>502928.66</v>
      </c>
      <c r="I133" s="149">
        <f t="shared" si="44"/>
        <v>2112300.37</v>
      </c>
      <c r="J133" s="150">
        <f t="shared" si="42"/>
        <v>250120.93000000156</v>
      </c>
      <c r="K133" s="154">
        <f t="shared" si="49"/>
        <v>12673802.210000001</v>
      </c>
      <c r="L133" s="151">
        <v>12423681.279999999</v>
      </c>
      <c r="M133" s="152">
        <f t="shared" si="46"/>
        <v>-1.9735271693182121E-2</v>
      </c>
      <c r="N133" s="146" t="s">
        <v>75</v>
      </c>
      <c r="O133" s="145">
        <v>46210</v>
      </c>
      <c r="P133" s="145">
        <v>46210</v>
      </c>
      <c r="Q133" s="146" t="s">
        <v>72</v>
      </c>
      <c r="R133" s="153" t="str">
        <f t="shared" si="50"/>
        <v>julio</v>
      </c>
      <c r="S133" s="145">
        <f t="shared" si="48"/>
        <v>46210</v>
      </c>
      <c r="T133" s="14" t="s">
        <v>143</v>
      </c>
      <c r="U133" s="14" t="str">
        <f t="shared" si="51"/>
        <v>mayo</v>
      </c>
    </row>
    <row r="134" spans="1:21" x14ac:dyDescent="0.25">
      <c r="A134" s="145">
        <v>46150</v>
      </c>
      <c r="B134" s="146" t="s">
        <v>68</v>
      </c>
      <c r="C134" s="147" t="s">
        <v>308</v>
      </c>
      <c r="D134" s="156" t="s">
        <v>35</v>
      </c>
      <c r="E134" s="146" t="s">
        <v>234</v>
      </c>
      <c r="F134" s="148" t="s">
        <v>89</v>
      </c>
      <c r="G134" s="149">
        <v>45397603.939999998</v>
      </c>
      <c r="H134" s="149">
        <v>1815904.16</v>
      </c>
      <c r="I134" s="149">
        <f t="shared" si="44"/>
        <v>9533496.8300000001</v>
      </c>
      <c r="J134" s="150">
        <f t="shared" si="42"/>
        <v>56747004.929999992</v>
      </c>
      <c r="K134" s="149">
        <f t="shared" si="49"/>
        <v>56747004.929999992</v>
      </c>
      <c r="L134" s="151"/>
      <c r="M134" s="152">
        <f t="shared" si="46"/>
        <v>-1</v>
      </c>
      <c r="N134" s="153"/>
      <c r="O134" s="145">
        <v>46211</v>
      </c>
      <c r="P134" s="145"/>
      <c r="Q134" s="153"/>
      <c r="R134" s="153" t="str">
        <f t="shared" si="50"/>
        <v>julio</v>
      </c>
      <c r="S134" s="145">
        <f t="shared" si="48"/>
        <v>46210</v>
      </c>
      <c r="T134" s="14">
        <f t="shared" ref="T134" si="53">+O134-A134</f>
        <v>61</v>
      </c>
      <c r="U134" s="14" t="str">
        <f t="shared" si="51"/>
        <v>mayo</v>
      </c>
    </row>
    <row r="135" spans="1:21" x14ac:dyDescent="0.25">
      <c r="A135" s="145">
        <v>46150</v>
      </c>
      <c r="B135" s="146" t="s">
        <v>68</v>
      </c>
      <c r="C135" s="147" t="s">
        <v>309</v>
      </c>
      <c r="D135" s="156" t="s">
        <v>36</v>
      </c>
      <c r="E135" s="146" t="s">
        <v>234</v>
      </c>
      <c r="F135" s="148" t="s">
        <v>91</v>
      </c>
      <c r="G135" s="149">
        <v>6338514.4800000004</v>
      </c>
      <c r="H135" s="149">
        <v>0</v>
      </c>
      <c r="I135" s="149">
        <f t="shared" si="44"/>
        <v>1331088.04</v>
      </c>
      <c r="J135" s="150">
        <f t="shared" si="42"/>
        <v>125426.8900000006</v>
      </c>
      <c r="K135" s="149">
        <f t="shared" si="49"/>
        <v>7669602.5200000005</v>
      </c>
      <c r="L135" s="151">
        <v>7544175.6299999999</v>
      </c>
      <c r="M135" s="152">
        <f t="shared" si="46"/>
        <v>-1.6353766661691416E-2</v>
      </c>
      <c r="N135" s="153" t="s">
        <v>75</v>
      </c>
      <c r="O135" s="145">
        <v>46210</v>
      </c>
      <c r="P135" s="145">
        <v>46210</v>
      </c>
      <c r="Q135" s="153" t="s">
        <v>72</v>
      </c>
      <c r="R135" s="153" t="str">
        <f t="shared" si="50"/>
        <v>julio</v>
      </c>
      <c r="S135" s="145">
        <f t="shared" si="48"/>
        <v>46210</v>
      </c>
      <c r="T135" s="14">
        <v>-46028</v>
      </c>
      <c r="U135" s="14" t="str">
        <f t="shared" si="51"/>
        <v>mayo</v>
      </c>
    </row>
    <row r="136" spans="1:21" x14ac:dyDescent="0.25">
      <c r="A136" s="145">
        <v>46150</v>
      </c>
      <c r="B136" s="146" t="s">
        <v>68</v>
      </c>
      <c r="C136" s="147" t="s">
        <v>310</v>
      </c>
      <c r="D136" s="148" t="s">
        <v>37</v>
      </c>
      <c r="E136" s="146" t="s">
        <v>234</v>
      </c>
      <c r="F136" s="148" t="s">
        <v>102</v>
      </c>
      <c r="G136" s="149">
        <v>26848093.960000001</v>
      </c>
      <c r="H136" s="149">
        <v>1342404.7</v>
      </c>
      <c r="I136" s="149">
        <f t="shared" si="44"/>
        <v>5638099.7300000004</v>
      </c>
      <c r="J136" s="150">
        <f t="shared" si="42"/>
        <v>33828598.390000001</v>
      </c>
      <c r="K136" s="154">
        <f t="shared" si="49"/>
        <v>33828598.390000001</v>
      </c>
      <c r="L136" s="151"/>
      <c r="M136" s="152">
        <f t="shared" si="46"/>
        <v>-1</v>
      </c>
      <c r="N136" s="146"/>
      <c r="O136" s="145">
        <v>46211</v>
      </c>
      <c r="P136" s="146"/>
      <c r="Q136" s="146"/>
      <c r="R136" s="153" t="str">
        <f t="shared" si="50"/>
        <v>julio</v>
      </c>
      <c r="S136" s="145">
        <f t="shared" si="48"/>
        <v>46210</v>
      </c>
      <c r="T136" s="14" t="s">
        <v>143</v>
      </c>
      <c r="U136" s="14" t="str">
        <f t="shared" si="51"/>
        <v>mayo</v>
      </c>
    </row>
    <row r="137" spans="1:21" x14ac:dyDescent="0.25">
      <c r="A137" s="145">
        <v>46150</v>
      </c>
      <c r="B137" s="146" t="s">
        <v>68</v>
      </c>
      <c r="C137" s="147" t="s">
        <v>311</v>
      </c>
      <c r="D137" s="156" t="s">
        <v>35</v>
      </c>
      <c r="E137" s="146" t="s">
        <v>234</v>
      </c>
      <c r="F137" s="148" t="s">
        <v>89</v>
      </c>
      <c r="G137" s="149">
        <v>54618472.82</v>
      </c>
      <c r="H137" s="149">
        <v>2184738.91</v>
      </c>
      <c r="I137" s="149">
        <f t="shared" si="44"/>
        <v>11469879.289999999</v>
      </c>
      <c r="J137" s="150">
        <f t="shared" si="42"/>
        <v>68273091.020000011</v>
      </c>
      <c r="K137" s="149">
        <f t="shared" si="49"/>
        <v>68273091.020000011</v>
      </c>
      <c r="L137" s="151"/>
      <c r="M137" s="152">
        <f t="shared" si="46"/>
        <v>-1</v>
      </c>
      <c r="N137" s="153"/>
      <c r="O137" s="145">
        <v>46216</v>
      </c>
      <c r="P137" s="145"/>
      <c r="Q137" s="153"/>
      <c r="R137" s="153" t="str">
        <f t="shared" si="50"/>
        <v>julio</v>
      </c>
      <c r="S137" s="145">
        <f t="shared" si="48"/>
        <v>46210</v>
      </c>
      <c r="T137" s="14">
        <f t="shared" ref="T137:T150" si="54">+O137-A137</f>
        <v>66</v>
      </c>
      <c r="U137" s="14" t="str">
        <f t="shared" si="51"/>
        <v>mayo</v>
      </c>
    </row>
    <row r="138" spans="1:21" x14ac:dyDescent="0.25">
      <c r="A138" s="145">
        <v>46153</v>
      </c>
      <c r="B138" s="146" t="s">
        <v>68</v>
      </c>
      <c r="C138" s="147" t="s">
        <v>312</v>
      </c>
      <c r="D138" s="148" t="s">
        <v>38</v>
      </c>
      <c r="E138" s="146" t="s">
        <v>313</v>
      </c>
      <c r="F138" s="148" t="s">
        <v>114</v>
      </c>
      <c r="G138" s="149">
        <v>63237247.68</v>
      </c>
      <c r="H138" s="149">
        <v>0</v>
      </c>
      <c r="I138" s="149">
        <f t="shared" si="44"/>
        <v>13279822.01</v>
      </c>
      <c r="J138" s="150">
        <f t="shared" si="42"/>
        <v>76517069.689999998</v>
      </c>
      <c r="K138" s="149">
        <f t="shared" si="49"/>
        <v>76517069.689999998</v>
      </c>
      <c r="L138" s="151"/>
      <c r="M138" s="152">
        <v>-1</v>
      </c>
      <c r="N138" s="146" t="s">
        <v>71</v>
      </c>
      <c r="O138" s="145">
        <v>46273</v>
      </c>
      <c r="P138" s="145"/>
      <c r="Q138" s="146"/>
      <c r="R138" s="153" t="str">
        <f t="shared" si="50"/>
        <v>julio</v>
      </c>
      <c r="S138" s="145">
        <f>+A138+60</f>
        <v>46213</v>
      </c>
      <c r="T138" s="14">
        <f t="shared" si="54"/>
        <v>120</v>
      </c>
      <c r="U138" s="14" t="str">
        <f t="shared" si="51"/>
        <v>mayo</v>
      </c>
    </row>
    <row r="139" spans="1:21" x14ac:dyDescent="0.25">
      <c r="A139" s="145">
        <v>46153</v>
      </c>
      <c r="B139" s="146" t="s">
        <v>68</v>
      </c>
      <c r="C139" s="147" t="s">
        <v>333</v>
      </c>
      <c r="D139" s="148" t="s">
        <v>39</v>
      </c>
      <c r="E139" s="146" t="s">
        <v>334</v>
      </c>
      <c r="F139" s="148" t="s">
        <v>117</v>
      </c>
      <c r="G139" s="149">
        <v>19243263.829999998</v>
      </c>
      <c r="H139" s="149">
        <v>384865.28000000003</v>
      </c>
      <c r="I139" s="149">
        <f t="shared" si="44"/>
        <v>4041085.4</v>
      </c>
      <c r="J139" s="150">
        <f t="shared" si="42"/>
        <v>473384.29019999877</v>
      </c>
      <c r="K139" s="149">
        <f t="shared" si="49"/>
        <v>23669214.509999998</v>
      </c>
      <c r="L139" s="151">
        <f>+K139*98%</f>
        <v>23195830.219799999</v>
      </c>
      <c r="M139" s="152">
        <f t="shared" ref="M139:M141" si="55">(L139/K139)-1</f>
        <v>-1.9999999999999907E-2</v>
      </c>
      <c r="N139" s="146" t="s">
        <v>75</v>
      </c>
      <c r="O139" s="145">
        <v>46195</v>
      </c>
      <c r="P139" s="145">
        <v>46195</v>
      </c>
      <c r="Q139" s="146" t="s">
        <v>72</v>
      </c>
      <c r="R139" s="153" t="str">
        <f t="shared" si="50"/>
        <v>junio</v>
      </c>
      <c r="S139" s="145">
        <f>+A139+45</f>
        <v>46198</v>
      </c>
      <c r="T139" s="14">
        <f t="shared" si="54"/>
        <v>42</v>
      </c>
      <c r="U139" s="14" t="str">
        <f t="shared" si="51"/>
        <v>mayo</v>
      </c>
    </row>
    <row r="140" spans="1:21" x14ac:dyDescent="0.25">
      <c r="A140" s="145">
        <v>46153</v>
      </c>
      <c r="B140" s="146" t="s">
        <v>68</v>
      </c>
      <c r="C140" s="147" t="s">
        <v>335</v>
      </c>
      <c r="D140" s="148" t="s">
        <v>39</v>
      </c>
      <c r="E140" s="146" t="s">
        <v>336</v>
      </c>
      <c r="F140" s="148" t="s">
        <v>117</v>
      </c>
      <c r="G140" s="149">
        <v>21898784.300000001</v>
      </c>
      <c r="H140" s="149">
        <v>437975.69</v>
      </c>
      <c r="I140" s="149">
        <f t="shared" si="44"/>
        <v>4598744.7</v>
      </c>
      <c r="J140" s="150">
        <f t="shared" si="42"/>
        <v>538710.09380000085</v>
      </c>
      <c r="K140" s="149">
        <f t="shared" si="49"/>
        <v>26935504.690000001</v>
      </c>
      <c r="L140" s="151">
        <f>+K140*98%</f>
        <v>26396794.5962</v>
      </c>
      <c r="M140" s="152">
        <f t="shared" si="55"/>
        <v>-2.0000000000000018E-2</v>
      </c>
      <c r="N140" s="146" t="s">
        <v>75</v>
      </c>
      <c r="O140" s="145">
        <v>46195</v>
      </c>
      <c r="P140" s="145">
        <v>46195</v>
      </c>
      <c r="Q140" s="146" t="s">
        <v>72</v>
      </c>
      <c r="R140" s="153" t="str">
        <f t="shared" si="50"/>
        <v>junio</v>
      </c>
      <c r="S140" s="145">
        <f>+A140+45</f>
        <v>46198</v>
      </c>
      <c r="T140" s="14">
        <f t="shared" si="54"/>
        <v>42</v>
      </c>
      <c r="U140" s="14" t="str">
        <f t="shared" si="51"/>
        <v>mayo</v>
      </c>
    </row>
    <row r="141" spans="1:21" x14ac:dyDescent="0.25">
      <c r="A141" s="145">
        <v>46154</v>
      </c>
      <c r="B141" s="146" t="s">
        <v>68</v>
      </c>
      <c r="C141" s="147" t="s">
        <v>337</v>
      </c>
      <c r="D141" s="148" t="s">
        <v>34</v>
      </c>
      <c r="E141" s="146" t="s">
        <v>234</v>
      </c>
      <c r="F141" s="148" t="s">
        <v>87</v>
      </c>
      <c r="G141" s="149">
        <v>22430781.010000002</v>
      </c>
      <c r="H141" s="149">
        <v>0</v>
      </c>
      <c r="I141" s="149">
        <f t="shared" si="44"/>
        <v>4710464.01</v>
      </c>
      <c r="J141" s="150">
        <f t="shared" si="42"/>
        <v>4462382.0200000033</v>
      </c>
      <c r="K141" s="149">
        <f t="shared" si="49"/>
        <v>27141245.020000003</v>
      </c>
      <c r="L141" s="151">
        <v>22678863</v>
      </c>
      <c r="M141" s="152">
        <f t="shared" si="55"/>
        <v>-0.16441331326959163</v>
      </c>
      <c r="N141" s="146" t="s">
        <v>71</v>
      </c>
      <c r="O141" s="145">
        <v>46189</v>
      </c>
      <c r="P141" s="145">
        <v>46190</v>
      </c>
      <c r="Q141" s="146" t="s">
        <v>72</v>
      </c>
      <c r="R141" s="153" t="str">
        <f t="shared" si="50"/>
        <v>junio</v>
      </c>
      <c r="S141" s="145">
        <f>+A141+30</f>
        <v>46184</v>
      </c>
      <c r="T141" s="14">
        <f t="shared" si="54"/>
        <v>35</v>
      </c>
      <c r="U141" s="14" t="str">
        <f t="shared" si="51"/>
        <v>mayo</v>
      </c>
    </row>
    <row r="142" spans="1:21" x14ac:dyDescent="0.25">
      <c r="A142" s="145">
        <v>46155</v>
      </c>
      <c r="B142" s="146" t="s">
        <v>68</v>
      </c>
      <c r="C142" s="147" t="s">
        <v>338</v>
      </c>
      <c r="D142" s="148" t="s">
        <v>127</v>
      </c>
      <c r="E142" s="146" t="s">
        <v>339</v>
      </c>
      <c r="F142" s="148" t="s">
        <v>129</v>
      </c>
      <c r="G142" s="149">
        <v>1011415110.16</v>
      </c>
      <c r="H142" s="149">
        <v>3034245.33</v>
      </c>
      <c r="I142" s="149">
        <f t="shared" si="44"/>
        <v>212397173.13</v>
      </c>
      <c r="J142" s="150">
        <f t="shared" si="42"/>
        <v>205315923.94999993</v>
      </c>
      <c r="K142" s="149">
        <f t="shared" si="49"/>
        <v>1226846528.6199999</v>
      </c>
      <c r="L142" s="151">
        <v>1021530604.67</v>
      </c>
      <c r="M142" s="152">
        <f>(L142/K142)-1</f>
        <v>-0.16735257357816913</v>
      </c>
      <c r="N142" s="146" t="s">
        <v>75</v>
      </c>
      <c r="O142" s="145">
        <v>46176</v>
      </c>
      <c r="P142" s="145">
        <v>46176</v>
      </c>
      <c r="Q142" s="146" t="s">
        <v>72</v>
      </c>
      <c r="R142" s="153" t="str">
        <f t="shared" si="50"/>
        <v>junio</v>
      </c>
      <c r="S142" s="145">
        <f>+A142+30</f>
        <v>46185</v>
      </c>
      <c r="T142" s="14">
        <f t="shared" si="54"/>
        <v>21</v>
      </c>
      <c r="U142" s="14" t="str">
        <f t="shared" si="51"/>
        <v>mayo</v>
      </c>
    </row>
    <row r="143" spans="1:21" x14ac:dyDescent="0.25">
      <c r="A143" s="145">
        <v>46155</v>
      </c>
      <c r="B143" s="146" t="s">
        <v>68</v>
      </c>
      <c r="C143" s="147" t="s">
        <v>340</v>
      </c>
      <c r="D143" s="148" t="s">
        <v>39</v>
      </c>
      <c r="E143" s="146" t="s">
        <v>341</v>
      </c>
      <c r="F143" s="148" t="s">
        <v>117</v>
      </c>
      <c r="G143" s="149">
        <v>198899819.78999999</v>
      </c>
      <c r="H143" s="149">
        <v>3977996.4</v>
      </c>
      <c r="I143" s="149">
        <f t="shared" si="44"/>
        <v>41768962.159999996</v>
      </c>
      <c r="J143" s="150">
        <f t="shared" si="42"/>
        <v>4990998.859199971</v>
      </c>
      <c r="K143" s="149">
        <f t="shared" si="49"/>
        <v>244646778.34999999</v>
      </c>
      <c r="L143" s="151">
        <f>297989206.43-L140-L139-L126</f>
        <v>239655779.49080002</v>
      </c>
      <c r="M143" s="152">
        <f t="shared" ref="M143:M148" si="56">(L143/K143)-1</f>
        <v>-2.040083622952793E-2</v>
      </c>
      <c r="N143" s="146" t="s">
        <v>75</v>
      </c>
      <c r="O143" s="145">
        <v>46195</v>
      </c>
      <c r="P143" s="145">
        <v>46195</v>
      </c>
      <c r="Q143" s="146" t="s">
        <v>72</v>
      </c>
      <c r="R143" s="153" t="str">
        <f t="shared" si="50"/>
        <v>junio</v>
      </c>
      <c r="S143" s="145">
        <f>+A143+45</f>
        <v>46200</v>
      </c>
      <c r="T143" s="14">
        <f t="shared" si="54"/>
        <v>40</v>
      </c>
      <c r="U143" s="14" t="str">
        <f t="shared" si="51"/>
        <v>mayo</v>
      </c>
    </row>
    <row r="144" spans="1:21" x14ac:dyDescent="0.25">
      <c r="A144" s="145">
        <v>46168</v>
      </c>
      <c r="B144" s="146" t="s">
        <v>68</v>
      </c>
      <c r="C144" s="147" t="s">
        <v>679</v>
      </c>
      <c r="D144" s="148" t="s">
        <v>123</v>
      </c>
      <c r="E144" s="146" t="s">
        <v>680</v>
      </c>
      <c r="F144" s="148" t="s">
        <v>125</v>
      </c>
      <c r="G144" s="149">
        <v>52063847.899999999</v>
      </c>
      <c r="H144" s="149">
        <v>1041276.96</v>
      </c>
      <c r="I144" s="149">
        <f t="shared" si="44"/>
        <v>10933408.060000001</v>
      </c>
      <c r="J144" s="150">
        <f t="shared" si="42"/>
        <v>1302858.9880000055</v>
      </c>
      <c r="K144" s="154">
        <f t="shared" si="49"/>
        <v>64038532.920000002</v>
      </c>
      <c r="L144" s="151">
        <f>70589445.97-L145-L146</f>
        <v>62735673.931999996</v>
      </c>
      <c r="M144" s="152">
        <f t="shared" si="56"/>
        <v>-2.0344922480151073E-2</v>
      </c>
      <c r="N144" s="155" t="s">
        <v>75</v>
      </c>
      <c r="O144" s="145">
        <v>46190</v>
      </c>
      <c r="P144" s="145">
        <v>46190</v>
      </c>
      <c r="Q144" s="146" t="s">
        <v>72</v>
      </c>
      <c r="R144" s="153" t="str">
        <f t="shared" si="50"/>
        <v>junio</v>
      </c>
      <c r="S144" s="145">
        <f t="shared" ref="S144:S146" si="57">+A144+30</f>
        <v>46198</v>
      </c>
      <c r="T144" s="14">
        <f t="shared" si="54"/>
        <v>22</v>
      </c>
      <c r="U144" s="14" t="str">
        <f t="shared" si="51"/>
        <v>mayo</v>
      </c>
    </row>
    <row r="145" spans="1:21" x14ac:dyDescent="0.25">
      <c r="A145" s="145">
        <v>46168</v>
      </c>
      <c r="B145" s="146" t="s">
        <v>68</v>
      </c>
      <c r="C145" s="147" t="s">
        <v>681</v>
      </c>
      <c r="D145" s="148" t="s">
        <v>123</v>
      </c>
      <c r="E145" s="146" t="s">
        <v>680</v>
      </c>
      <c r="F145" s="148" t="s">
        <v>125</v>
      </c>
      <c r="G145" s="149">
        <v>4338684.32</v>
      </c>
      <c r="H145" s="149">
        <v>86773.69</v>
      </c>
      <c r="I145" s="149">
        <f t="shared" si="44"/>
        <v>911123.71</v>
      </c>
      <c r="J145" s="150">
        <f t="shared" si="42"/>
        <v>106731.63439999986</v>
      </c>
      <c r="K145" s="154">
        <f t="shared" si="49"/>
        <v>5336581.7200000007</v>
      </c>
      <c r="L145" s="151">
        <f>+K145*98%</f>
        <v>5229850.0856000008</v>
      </c>
      <c r="M145" s="152">
        <f t="shared" si="56"/>
        <v>-2.0000000000000018E-2</v>
      </c>
      <c r="N145" s="155" t="s">
        <v>75</v>
      </c>
      <c r="O145" s="145">
        <v>46190</v>
      </c>
      <c r="P145" s="145">
        <v>46190</v>
      </c>
      <c r="Q145" s="146" t="s">
        <v>72</v>
      </c>
      <c r="R145" s="153" t="str">
        <f t="shared" si="50"/>
        <v>junio</v>
      </c>
      <c r="S145" s="145">
        <f t="shared" si="57"/>
        <v>46198</v>
      </c>
      <c r="T145" s="14">
        <f t="shared" si="54"/>
        <v>22</v>
      </c>
      <c r="U145" s="14" t="str">
        <f t="shared" si="51"/>
        <v>mayo</v>
      </c>
    </row>
    <row r="146" spans="1:21" x14ac:dyDescent="0.25">
      <c r="A146" s="145">
        <v>46168</v>
      </c>
      <c r="B146" s="146" t="s">
        <v>68</v>
      </c>
      <c r="C146" s="147" t="s">
        <v>682</v>
      </c>
      <c r="D146" s="148" t="s">
        <v>123</v>
      </c>
      <c r="E146" s="146" t="s">
        <v>262</v>
      </c>
      <c r="F146" s="148" t="s">
        <v>125</v>
      </c>
      <c r="G146" s="149">
        <v>2176806</v>
      </c>
      <c r="H146" s="149">
        <v>43536.12</v>
      </c>
      <c r="I146" s="149">
        <f t="shared" si="44"/>
        <v>457129.26</v>
      </c>
      <c r="J146" s="150">
        <f t="shared" si="42"/>
        <v>53549.427600000054</v>
      </c>
      <c r="K146" s="154">
        <f t="shared" si="49"/>
        <v>2677471.38</v>
      </c>
      <c r="L146" s="151">
        <f>+K146*98%</f>
        <v>2623921.9523999998</v>
      </c>
      <c r="M146" s="152">
        <f t="shared" si="56"/>
        <v>-2.0000000000000018E-2</v>
      </c>
      <c r="N146" s="155" t="s">
        <v>75</v>
      </c>
      <c r="O146" s="145">
        <v>46190</v>
      </c>
      <c r="P146" s="145">
        <v>46190</v>
      </c>
      <c r="Q146" s="146" t="s">
        <v>72</v>
      </c>
      <c r="R146" s="153" t="str">
        <f t="shared" si="50"/>
        <v>junio</v>
      </c>
      <c r="S146" s="145">
        <f t="shared" si="57"/>
        <v>46198</v>
      </c>
      <c r="T146" s="14">
        <f t="shared" si="54"/>
        <v>22</v>
      </c>
      <c r="U146" s="14" t="str">
        <f t="shared" si="51"/>
        <v>mayo</v>
      </c>
    </row>
    <row r="147" spans="1:21" x14ac:dyDescent="0.25">
      <c r="A147" s="145">
        <v>46174</v>
      </c>
      <c r="B147" s="146" t="s">
        <v>68</v>
      </c>
      <c r="C147" s="147" t="s">
        <v>689</v>
      </c>
      <c r="D147" s="148" t="s">
        <v>31</v>
      </c>
      <c r="E147" s="146" t="s">
        <v>272</v>
      </c>
      <c r="F147" s="148" t="s">
        <v>70</v>
      </c>
      <c r="G147" s="149">
        <v>53200993.399999999</v>
      </c>
      <c r="H147" s="149">
        <v>0</v>
      </c>
      <c r="I147" s="149">
        <f t="shared" si="44"/>
        <v>11172208.609999999</v>
      </c>
      <c r="J147" s="150">
        <f t="shared" si="42"/>
        <v>64373202.009999998</v>
      </c>
      <c r="K147" s="154">
        <f t="shared" si="49"/>
        <v>64373202.009999998</v>
      </c>
      <c r="L147" s="151"/>
      <c r="M147" s="152">
        <f t="shared" si="56"/>
        <v>-1</v>
      </c>
      <c r="N147" s="146" t="s">
        <v>71</v>
      </c>
      <c r="O147" s="145">
        <v>46234</v>
      </c>
      <c r="P147" s="145"/>
      <c r="Q147" s="146"/>
      <c r="R147" s="153" t="str">
        <f t="shared" si="50"/>
        <v>julio</v>
      </c>
      <c r="S147" s="145">
        <f>+A147+60</f>
        <v>46234</v>
      </c>
      <c r="T147" s="14">
        <f t="shared" si="54"/>
        <v>60</v>
      </c>
      <c r="U147" s="14" t="str">
        <f t="shared" si="51"/>
        <v>junio</v>
      </c>
    </row>
    <row r="148" spans="1:21" x14ac:dyDescent="0.25">
      <c r="A148" s="145">
        <v>46175</v>
      </c>
      <c r="B148" s="146" t="s">
        <v>68</v>
      </c>
      <c r="C148" s="147" t="s">
        <v>690</v>
      </c>
      <c r="D148" s="148" t="s">
        <v>32</v>
      </c>
      <c r="E148" s="146" t="s">
        <v>272</v>
      </c>
      <c r="F148" s="148" t="s">
        <v>74</v>
      </c>
      <c r="G148" s="149">
        <v>474463730.47000003</v>
      </c>
      <c r="H148" s="149">
        <v>0</v>
      </c>
      <c r="I148" s="149">
        <f t="shared" si="44"/>
        <v>99637383.400000006</v>
      </c>
      <c r="J148" s="150">
        <f t="shared" si="42"/>
        <v>574101113.87</v>
      </c>
      <c r="K148" s="149">
        <f t="shared" si="49"/>
        <v>574101113.87</v>
      </c>
      <c r="L148" s="151"/>
      <c r="M148" s="152">
        <f t="shared" si="56"/>
        <v>-1</v>
      </c>
      <c r="N148" s="146"/>
      <c r="O148" s="145"/>
      <c r="P148" s="145"/>
      <c r="Q148" s="146"/>
      <c r="R148" s="153" t="str">
        <f t="shared" si="50"/>
        <v>agosto</v>
      </c>
      <c r="S148" s="145">
        <f>+A148+60</f>
        <v>46235</v>
      </c>
      <c r="T148" s="14">
        <f t="shared" si="54"/>
        <v>-46175</v>
      </c>
      <c r="U148" s="14" t="str">
        <f t="shared" si="51"/>
        <v>junio</v>
      </c>
    </row>
    <row r="149" spans="1:21" x14ac:dyDescent="0.25">
      <c r="A149" s="145">
        <v>46175</v>
      </c>
      <c r="B149" s="146" t="s">
        <v>68</v>
      </c>
      <c r="C149" s="147" t="s">
        <v>691</v>
      </c>
      <c r="D149" s="148" t="s">
        <v>33</v>
      </c>
      <c r="E149" s="146" t="s">
        <v>692</v>
      </c>
      <c r="F149" s="148" t="s">
        <v>82</v>
      </c>
      <c r="G149" s="149">
        <v>28210009.329999998</v>
      </c>
      <c r="H149" s="149">
        <v>366730.12</v>
      </c>
      <c r="I149" s="149">
        <f t="shared" si="44"/>
        <v>5924101.96</v>
      </c>
      <c r="J149" s="150">
        <f>+K149-L149</f>
        <v>703906.82999999821</v>
      </c>
      <c r="K149" s="154">
        <f t="shared" si="49"/>
        <v>34500841.409999996</v>
      </c>
      <c r="L149" s="151">
        <v>33796934.579999998</v>
      </c>
      <c r="M149" s="152">
        <f>(L149/K149)-1</f>
        <v>-2.0402598928963234E-2</v>
      </c>
      <c r="N149" s="146" t="s">
        <v>75</v>
      </c>
      <c r="O149" s="145">
        <v>46203</v>
      </c>
      <c r="P149" s="145">
        <v>46202</v>
      </c>
      <c r="Q149" s="146" t="s">
        <v>72</v>
      </c>
      <c r="R149" s="153" t="str">
        <f t="shared" si="50"/>
        <v>julio</v>
      </c>
      <c r="S149" s="145">
        <f>+A149+30</f>
        <v>46205</v>
      </c>
      <c r="T149" s="14">
        <f t="shared" si="54"/>
        <v>28</v>
      </c>
      <c r="U149" s="14" t="str">
        <f t="shared" si="51"/>
        <v>junio</v>
      </c>
    </row>
    <row r="150" spans="1:21" x14ac:dyDescent="0.25">
      <c r="A150" s="145">
        <v>46176</v>
      </c>
      <c r="B150" s="146" t="s">
        <v>68</v>
      </c>
      <c r="C150" s="147" t="s">
        <v>693</v>
      </c>
      <c r="D150" s="156" t="s">
        <v>35</v>
      </c>
      <c r="E150" s="146" t="s">
        <v>272</v>
      </c>
      <c r="F150" s="148" t="s">
        <v>89</v>
      </c>
      <c r="G150" s="149">
        <v>54053060.270000003</v>
      </c>
      <c r="H150" s="149">
        <v>2162122.41</v>
      </c>
      <c r="I150" s="149">
        <f t="shared" si="44"/>
        <v>11351142.66</v>
      </c>
      <c r="J150" s="150">
        <f t="shared" ref="J150:J178" si="58">+K150-L150</f>
        <v>67566325.340000004</v>
      </c>
      <c r="K150" s="149">
        <f t="shared" si="49"/>
        <v>67566325.340000004</v>
      </c>
      <c r="L150" s="151"/>
      <c r="M150" s="152">
        <f t="shared" ref="M150:M161" si="59">(L150/K150)-1</f>
        <v>-1</v>
      </c>
      <c r="N150" s="153"/>
      <c r="O150" s="145"/>
      <c r="P150" s="145"/>
      <c r="Q150" s="153"/>
      <c r="R150" s="153" t="str">
        <f t="shared" si="50"/>
        <v>agosto</v>
      </c>
      <c r="S150" s="145">
        <f t="shared" ref="S150:S156" si="60">+A150+60</f>
        <v>46236</v>
      </c>
      <c r="T150" s="14">
        <f t="shared" si="54"/>
        <v>-46176</v>
      </c>
      <c r="U150" s="14" t="str">
        <f t="shared" si="51"/>
        <v>junio</v>
      </c>
    </row>
    <row r="151" spans="1:21" x14ac:dyDescent="0.25">
      <c r="A151" s="145">
        <v>46176</v>
      </c>
      <c r="B151" s="146" t="s">
        <v>68</v>
      </c>
      <c r="C151" s="147" t="s">
        <v>694</v>
      </c>
      <c r="D151" s="156" t="s">
        <v>36</v>
      </c>
      <c r="E151" s="146" t="s">
        <v>272</v>
      </c>
      <c r="F151" s="148" t="s">
        <v>91</v>
      </c>
      <c r="G151" s="149">
        <v>2821864.5</v>
      </c>
      <c r="H151" s="149">
        <v>0</v>
      </c>
      <c r="I151" s="149">
        <f t="shared" si="44"/>
        <v>592591.55000000005</v>
      </c>
      <c r="J151" s="150">
        <f t="shared" si="58"/>
        <v>3414456.05</v>
      </c>
      <c r="K151" s="149">
        <f t="shared" si="49"/>
        <v>3414456.05</v>
      </c>
      <c r="L151" s="151"/>
      <c r="M151" s="152">
        <f t="shared" si="59"/>
        <v>-1</v>
      </c>
      <c r="N151" s="153"/>
      <c r="O151" s="145"/>
      <c r="P151" s="145"/>
      <c r="Q151" s="153"/>
      <c r="R151" s="153" t="str">
        <f t="shared" si="50"/>
        <v>agosto</v>
      </c>
      <c r="S151" s="145">
        <f t="shared" si="60"/>
        <v>46236</v>
      </c>
      <c r="T151" s="14">
        <v>-46028</v>
      </c>
      <c r="U151" s="14" t="str">
        <f t="shared" si="51"/>
        <v>junio</v>
      </c>
    </row>
    <row r="152" spans="1:21" x14ac:dyDescent="0.25">
      <c r="A152" s="145">
        <v>46176</v>
      </c>
      <c r="B152" s="146" t="s">
        <v>68</v>
      </c>
      <c r="C152" s="147" t="s">
        <v>695</v>
      </c>
      <c r="D152" s="148" t="s">
        <v>37</v>
      </c>
      <c r="E152" s="146" t="s">
        <v>272</v>
      </c>
      <c r="F152" s="148" t="s">
        <v>102</v>
      </c>
      <c r="G152" s="149">
        <v>10145764.84</v>
      </c>
      <c r="H152" s="149">
        <v>507288.24</v>
      </c>
      <c r="I152" s="149">
        <f t="shared" si="44"/>
        <v>2130610.62</v>
      </c>
      <c r="J152" s="150">
        <f t="shared" si="58"/>
        <v>12783663.699999999</v>
      </c>
      <c r="K152" s="154">
        <f t="shared" si="49"/>
        <v>12783663.699999999</v>
      </c>
      <c r="L152" s="151"/>
      <c r="M152" s="152">
        <f t="shared" si="59"/>
        <v>-1</v>
      </c>
      <c r="N152" s="146"/>
      <c r="O152" s="146"/>
      <c r="P152" s="146"/>
      <c r="Q152" s="146"/>
      <c r="R152" s="153" t="str">
        <f t="shared" si="50"/>
        <v>agosto</v>
      </c>
      <c r="S152" s="145">
        <f t="shared" si="60"/>
        <v>46236</v>
      </c>
      <c r="T152" s="14">
        <f t="shared" ref="T152:T154" si="61">+O152-A152</f>
        <v>-46176</v>
      </c>
      <c r="U152" s="14" t="str">
        <f t="shared" si="51"/>
        <v>junio</v>
      </c>
    </row>
    <row r="153" spans="1:21" x14ac:dyDescent="0.25">
      <c r="A153" s="145">
        <v>46176</v>
      </c>
      <c r="B153" s="146" t="s">
        <v>68</v>
      </c>
      <c r="C153" s="147" t="s">
        <v>696</v>
      </c>
      <c r="D153" s="148" t="s">
        <v>37</v>
      </c>
      <c r="E153" s="146" t="s">
        <v>272</v>
      </c>
      <c r="F153" s="148" t="s">
        <v>102</v>
      </c>
      <c r="G153" s="149">
        <v>27654310.609999999</v>
      </c>
      <c r="H153" s="149">
        <v>1382715.53</v>
      </c>
      <c r="I153" s="149">
        <f t="shared" si="44"/>
        <v>5807405.2300000004</v>
      </c>
      <c r="J153" s="150">
        <f t="shared" si="58"/>
        <v>34844431.370000005</v>
      </c>
      <c r="K153" s="154">
        <f t="shared" si="49"/>
        <v>34844431.370000005</v>
      </c>
      <c r="L153" s="151"/>
      <c r="M153" s="152">
        <f t="shared" si="59"/>
        <v>-1</v>
      </c>
      <c r="N153" s="146"/>
      <c r="O153" s="146"/>
      <c r="P153" s="146"/>
      <c r="Q153" s="146"/>
      <c r="R153" s="153" t="str">
        <f t="shared" si="50"/>
        <v>agosto</v>
      </c>
      <c r="S153" s="145">
        <f t="shared" si="60"/>
        <v>46236</v>
      </c>
      <c r="T153" s="14">
        <f t="shared" si="61"/>
        <v>-46176</v>
      </c>
      <c r="U153" s="14" t="str">
        <f t="shared" si="51"/>
        <v>junio</v>
      </c>
    </row>
    <row r="154" spans="1:21" x14ac:dyDescent="0.25">
      <c r="A154" s="145">
        <v>46176</v>
      </c>
      <c r="B154" s="146" t="s">
        <v>68</v>
      </c>
      <c r="C154" s="147" t="s">
        <v>697</v>
      </c>
      <c r="D154" s="156" t="s">
        <v>35</v>
      </c>
      <c r="E154" s="146" t="s">
        <v>272</v>
      </c>
      <c r="F154" s="148" t="s">
        <v>89</v>
      </c>
      <c r="G154" s="149">
        <v>23917685.239999998</v>
      </c>
      <c r="H154" s="149">
        <v>956707.41</v>
      </c>
      <c r="I154" s="149">
        <f t="shared" si="44"/>
        <v>5022713.9000000004</v>
      </c>
      <c r="J154" s="150">
        <f t="shared" si="58"/>
        <v>29897106.549999997</v>
      </c>
      <c r="K154" s="149">
        <f t="shared" si="49"/>
        <v>29897106.549999997</v>
      </c>
      <c r="L154" s="151"/>
      <c r="M154" s="152">
        <f t="shared" si="59"/>
        <v>-1</v>
      </c>
      <c r="N154" s="153"/>
      <c r="O154" s="145"/>
      <c r="P154" s="145"/>
      <c r="Q154" s="153"/>
      <c r="R154" s="153" t="str">
        <f t="shared" si="50"/>
        <v>agosto</v>
      </c>
      <c r="S154" s="145">
        <f t="shared" si="60"/>
        <v>46236</v>
      </c>
      <c r="T154" s="14">
        <f t="shared" si="61"/>
        <v>-46176</v>
      </c>
      <c r="U154" s="14" t="str">
        <f t="shared" si="51"/>
        <v>junio</v>
      </c>
    </row>
    <row r="155" spans="1:21" x14ac:dyDescent="0.25">
      <c r="A155" s="145">
        <v>46176</v>
      </c>
      <c r="B155" s="146" t="s">
        <v>68</v>
      </c>
      <c r="C155" s="147" t="s">
        <v>698</v>
      </c>
      <c r="D155" s="156" t="s">
        <v>36</v>
      </c>
      <c r="E155" s="146" t="s">
        <v>272</v>
      </c>
      <c r="F155" s="148" t="s">
        <v>91</v>
      </c>
      <c r="G155" s="149">
        <v>6419424.2000000002</v>
      </c>
      <c r="H155" s="149">
        <v>0</v>
      </c>
      <c r="I155" s="149">
        <f t="shared" si="44"/>
        <v>1348079.08</v>
      </c>
      <c r="J155" s="150">
        <f t="shared" si="58"/>
        <v>7767503.2800000003</v>
      </c>
      <c r="K155" s="149">
        <f t="shared" si="49"/>
        <v>7767503.2800000003</v>
      </c>
      <c r="L155" s="151"/>
      <c r="M155" s="152">
        <f t="shared" si="59"/>
        <v>-1</v>
      </c>
      <c r="N155" s="153"/>
      <c r="O155" s="145"/>
      <c r="P155" s="145"/>
      <c r="Q155" s="153"/>
      <c r="R155" s="153" t="str">
        <f t="shared" si="50"/>
        <v>agosto</v>
      </c>
      <c r="S155" s="145">
        <f t="shared" si="60"/>
        <v>46236</v>
      </c>
      <c r="T155" s="14">
        <v>-46028</v>
      </c>
      <c r="U155" s="14" t="str">
        <f t="shared" si="51"/>
        <v>junio</v>
      </c>
    </row>
    <row r="156" spans="1:21" x14ac:dyDescent="0.25">
      <c r="A156" s="145">
        <v>46176</v>
      </c>
      <c r="B156" s="146" t="s">
        <v>68</v>
      </c>
      <c r="C156" s="147" t="s">
        <v>699</v>
      </c>
      <c r="D156" s="156" t="s">
        <v>35</v>
      </c>
      <c r="E156" s="146" t="s">
        <v>272</v>
      </c>
      <c r="F156" s="148" t="s">
        <v>89</v>
      </c>
      <c r="G156" s="149">
        <v>41109169.479999997</v>
      </c>
      <c r="H156" s="149">
        <v>1644366.78</v>
      </c>
      <c r="I156" s="149">
        <f t="shared" si="44"/>
        <v>8632925.5899999999</v>
      </c>
      <c r="J156" s="150">
        <f t="shared" si="58"/>
        <v>51386461.849999994</v>
      </c>
      <c r="K156" s="149">
        <f t="shared" si="49"/>
        <v>51386461.849999994</v>
      </c>
      <c r="L156" s="151"/>
      <c r="M156" s="152">
        <f t="shared" si="59"/>
        <v>-1</v>
      </c>
      <c r="N156" s="153"/>
      <c r="O156" s="145"/>
      <c r="P156" s="145"/>
      <c r="Q156" s="153"/>
      <c r="R156" s="153" t="str">
        <f t="shared" si="50"/>
        <v>agosto</v>
      </c>
      <c r="S156" s="145">
        <f t="shared" si="60"/>
        <v>46236</v>
      </c>
      <c r="T156" s="14">
        <f t="shared" ref="T156:T176" si="62">+O156-A156</f>
        <v>-46176</v>
      </c>
      <c r="U156" s="14" t="str">
        <f t="shared" si="51"/>
        <v>junio</v>
      </c>
    </row>
    <row r="157" spans="1:21" x14ac:dyDescent="0.25">
      <c r="A157" s="145">
        <v>46177</v>
      </c>
      <c r="B157" s="146" t="s">
        <v>68</v>
      </c>
      <c r="C157" s="147" t="s">
        <v>758</v>
      </c>
      <c r="D157" s="148" t="s">
        <v>123</v>
      </c>
      <c r="E157" s="146" t="s">
        <v>700</v>
      </c>
      <c r="F157" s="148" t="s">
        <v>125</v>
      </c>
      <c r="G157" s="149">
        <v>190644</v>
      </c>
      <c r="H157" s="149">
        <v>3812.88</v>
      </c>
      <c r="I157" s="149">
        <f t="shared" si="44"/>
        <v>40035.24</v>
      </c>
      <c r="J157" s="150">
        <f t="shared" si="58"/>
        <v>4689.8423999999941</v>
      </c>
      <c r="K157" s="154">
        <f t="shared" si="49"/>
        <v>234492.12</v>
      </c>
      <c r="L157" s="151">
        <f>+K157*98%</f>
        <v>229802.2776</v>
      </c>
      <c r="M157" s="152">
        <f t="shared" si="59"/>
        <v>-2.0000000000000018E-2</v>
      </c>
      <c r="N157" s="155" t="s">
        <v>75</v>
      </c>
      <c r="O157" s="145">
        <v>46197</v>
      </c>
      <c r="P157" s="145">
        <v>46197</v>
      </c>
      <c r="Q157" s="146" t="s">
        <v>72</v>
      </c>
      <c r="R157" s="153" t="str">
        <f t="shared" si="50"/>
        <v>julio</v>
      </c>
      <c r="S157" s="145">
        <f t="shared" ref="S157:S158" si="63">+A157+30</f>
        <v>46207</v>
      </c>
      <c r="T157" s="14">
        <f t="shared" si="62"/>
        <v>20</v>
      </c>
      <c r="U157" s="14" t="str">
        <f t="shared" si="51"/>
        <v>junio</v>
      </c>
    </row>
    <row r="158" spans="1:21" x14ac:dyDescent="0.25">
      <c r="A158" s="145">
        <v>46177</v>
      </c>
      <c r="B158" s="146" t="s">
        <v>68</v>
      </c>
      <c r="C158" s="147" t="s">
        <v>759</v>
      </c>
      <c r="D158" s="148" t="s">
        <v>123</v>
      </c>
      <c r="E158" s="146" t="s">
        <v>700</v>
      </c>
      <c r="F158" s="148" t="s">
        <v>125</v>
      </c>
      <c r="G158" s="149">
        <v>2287712.02</v>
      </c>
      <c r="H158" s="149">
        <v>45754.239999999998</v>
      </c>
      <c r="I158" s="149">
        <f t="shared" si="44"/>
        <v>480419.52</v>
      </c>
      <c r="J158" s="150">
        <f t="shared" si="58"/>
        <v>57269.057600000408</v>
      </c>
      <c r="K158" s="154">
        <f t="shared" si="49"/>
        <v>2813885.7800000003</v>
      </c>
      <c r="L158" s="151">
        <f>2986419-L157</f>
        <v>2756616.7223999999</v>
      </c>
      <c r="M158" s="152">
        <f t="shared" si="59"/>
        <v>-2.0352303567915397E-2</v>
      </c>
      <c r="N158" s="155" t="s">
        <v>75</v>
      </c>
      <c r="O158" s="145">
        <v>46197</v>
      </c>
      <c r="P158" s="145">
        <v>46197</v>
      </c>
      <c r="Q158" s="146" t="s">
        <v>72</v>
      </c>
      <c r="R158" s="153" t="str">
        <f t="shared" si="50"/>
        <v>julio</v>
      </c>
      <c r="S158" s="145">
        <f t="shared" si="63"/>
        <v>46207</v>
      </c>
      <c r="T158" s="14">
        <f t="shared" si="62"/>
        <v>20</v>
      </c>
      <c r="U158" s="14" t="str">
        <f t="shared" si="51"/>
        <v>junio</v>
      </c>
    </row>
    <row r="159" spans="1:21" x14ac:dyDescent="0.25">
      <c r="A159" s="145">
        <v>46177</v>
      </c>
      <c r="B159" s="146" t="s">
        <v>68</v>
      </c>
      <c r="C159" s="147" t="s">
        <v>704</v>
      </c>
      <c r="D159" s="148" t="s">
        <v>38</v>
      </c>
      <c r="E159" s="146" t="s">
        <v>705</v>
      </c>
      <c r="F159" s="148" t="s">
        <v>114</v>
      </c>
      <c r="G159" s="149">
        <v>91691264.280000001</v>
      </c>
      <c r="H159" s="149">
        <v>0</v>
      </c>
      <c r="I159" s="149">
        <f t="shared" si="44"/>
        <v>19255165.5</v>
      </c>
      <c r="J159" s="150">
        <f t="shared" si="58"/>
        <v>110946429.78</v>
      </c>
      <c r="K159" s="149">
        <f t="shared" si="49"/>
        <v>110946429.78</v>
      </c>
      <c r="L159" s="151"/>
      <c r="M159" s="152">
        <f t="shared" si="59"/>
        <v>-1</v>
      </c>
      <c r="N159" s="146"/>
      <c r="O159" s="145"/>
      <c r="P159" s="145"/>
      <c r="Q159" s="146"/>
      <c r="R159" s="153" t="str">
        <f t="shared" si="50"/>
        <v>agosto</v>
      </c>
      <c r="S159" s="145">
        <f>+A159+60</f>
        <v>46237</v>
      </c>
      <c r="T159" s="14">
        <f t="shared" si="62"/>
        <v>-46177</v>
      </c>
      <c r="U159" s="14" t="str">
        <f t="shared" si="51"/>
        <v>junio</v>
      </c>
    </row>
    <row r="160" spans="1:21" x14ac:dyDescent="0.25">
      <c r="A160" s="145">
        <v>46177</v>
      </c>
      <c r="B160" s="146" t="s">
        <v>68</v>
      </c>
      <c r="C160" s="147" t="s">
        <v>706</v>
      </c>
      <c r="D160" s="148" t="s">
        <v>38</v>
      </c>
      <c r="E160" s="146" t="s">
        <v>707</v>
      </c>
      <c r="F160" s="148" t="s">
        <v>114</v>
      </c>
      <c r="G160" s="149">
        <v>51159290</v>
      </c>
      <c r="H160" s="149">
        <v>0</v>
      </c>
      <c r="I160" s="149">
        <f t="shared" si="44"/>
        <v>10743450.9</v>
      </c>
      <c r="J160" s="150">
        <f t="shared" si="58"/>
        <v>61902740.899999999</v>
      </c>
      <c r="K160" s="149">
        <f t="shared" si="49"/>
        <v>61902740.899999999</v>
      </c>
      <c r="L160" s="151"/>
      <c r="M160" s="152">
        <f t="shared" si="59"/>
        <v>-1</v>
      </c>
      <c r="N160" s="146"/>
      <c r="O160" s="145"/>
      <c r="P160" s="145"/>
      <c r="Q160" s="146"/>
      <c r="R160" s="153" t="str">
        <f t="shared" si="50"/>
        <v>agosto</v>
      </c>
      <c r="S160" s="145">
        <f>+A160+60</f>
        <v>46237</v>
      </c>
      <c r="T160" s="14">
        <f t="shared" si="62"/>
        <v>-46177</v>
      </c>
      <c r="U160" s="14" t="str">
        <f t="shared" si="51"/>
        <v>junio</v>
      </c>
    </row>
    <row r="161" spans="1:21" x14ac:dyDescent="0.25">
      <c r="A161" s="145">
        <v>46178</v>
      </c>
      <c r="B161" s="146" t="s">
        <v>68</v>
      </c>
      <c r="C161" s="147" t="s">
        <v>709</v>
      </c>
      <c r="D161" s="148" t="s">
        <v>39</v>
      </c>
      <c r="E161" s="146" t="s">
        <v>721</v>
      </c>
      <c r="F161" s="148" t="s">
        <v>117</v>
      </c>
      <c r="G161" s="149">
        <v>7557463.9199999999</v>
      </c>
      <c r="H161" s="149">
        <v>151149.28</v>
      </c>
      <c r="I161" s="149">
        <f t="shared" si="44"/>
        <v>1587067.42</v>
      </c>
      <c r="J161" s="150">
        <f t="shared" si="58"/>
        <v>9295680.620000001</v>
      </c>
      <c r="K161" s="149">
        <f t="shared" si="49"/>
        <v>9295680.620000001</v>
      </c>
      <c r="L161" s="151"/>
      <c r="M161" s="152">
        <f t="shared" si="59"/>
        <v>-1</v>
      </c>
      <c r="N161" s="146"/>
      <c r="O161" s="145">
        <v>46225</v>
      </c>
      <c r="P161" s="145"/>
      <c r="Q161" s="146"/>
      <c r="R161" s="153" t="str">
        <f t="shared" si="50"/>
        <v>julio</v>
      </c>
      <c r="S161" s="145">
        <f>+A161+45</f>
        <v>46223</v>
      </c>
      <c r="T161" s="14">
        <f t="shared" si="62"/>
        <v>47</v>
      </c>
      <c r="U161" s="14" t="str">
        <f t="shared" si="51"/>
        <v>junio</v>
      </c>
    </row>
    <row r="162" spans="1:21" x14ac:dyDescent="0.25">
      <c r="A162" s="145">
        <v>46183</v>
      </c>
      <c r="B162" s="146" t="s">
        <v>68</v>
      </c>
      <c r="C162" s="147" t="s">
        <v>712</v>
      </c>
      <c r="D162" s="148" t="s">
        <v>127</v>
      </c>
      <c r="E162" s="146" t="s">
        <v>713</v>
      </c>
      <c r="F162" s="148" t="s">
        <v>129</v>
      </c>
      <c r="G162" s="149">
        <v>1006119751.08</v>
      </c>
      <c r="H162" s="149">
        <v>3018359.25</v>
      </c>
      <c r="I162" s="149">
        <f t="shared" si="44"/>
        <v>211285147.72999999</v>
      </c>
      <c r="J162" s="150">
        <f t="shared" si="58"/>
        <v>205195545.75999999</v>
      </c>
      <c r="K162" s="149">
        <f t="shared" si="49"/>
        <v>1220423258.0599999</v>
      </c>
      <c r="L162" s="151">
        <v>1015227712.3</v>
      </c>
      <c r="M162" s="152">
        <f>(L162/K162)-1</f>
        <v>-0.16813473883329744</v>
      </c>
      <c r="N162" s="146" t="s">
        <v>75</v>
      </c>
      <c r="O162" s="145">
        <v>46199</v>
      </c>
      <c r="P162" s="145">
        <v>46199</v>
      </c>
      <c r="Q162" s="146" t="s">
        <v>72</v>
      </c>
      <c r="R162" s="153" t="str">
        <f t="shared" si="50"/>
        <v>julio</v>
      </c>
      <c r="S162" s="145">
        <f>+A162+30</f>
        <v>46213</v>
      </c>
      <c r="T162" s="14">
        <f t="shared" si="62"/>
        <v>16</v>
      </c>
      <c r="U162" s="14" t="str">
        <f t="shared" si="51"/>
        <v>junio</v>
      </c>
    </row>
    <row r="163" spans="1:21" x14ac:dyDescent="0.25">
      <c r="A163" s="145">
        <v>46184</v>
      </c>
      <c r="B163" s="146" t="s">
        <v>68</v>
      </c>
      <c r="C163" s="147" t="s">
        <v>714</v>
      </c>
      <c r="D163" s="148" t="s">
        <v>39</v>
      </c>
      <c r="E163" s="146" t="s">
        <v>715</v>
      </c>
      <c r="F163" s="148" t="s">
        <v>117</v>
      </c>
      <c r="G163" s="149">
        <v>22205331.5</v>
      </c>
      <c r="H163" s="149">
        <v>444106.63</v>
      </c>
      <c r="I163" s="149">
        <f t="shared" si="44"/>
        <v>4663119.62</v>
      </c>
      <c r="J163" s="150">
        <f t="shared" si="58"/>
        <v>27312557.75</v>
      </c>
      <c r="K163" s="149">
        <f t="shared" si="49"/>
        <v>27312557.75</v>
      </c>
      <c r="L163" s="151"/>
      <c r="M163" s="152">
        <f t="shared" ref="M163:M178" si="64">(L163/K163)-1</f>
        <v>-1</v>
      </c>
      <c r="N163" s="146"/>
      <c r="O163" s="145">
        <v>46225</v>
      </c>
      <c r="P163" s="145"/>
      <c r="Q163" s="146"/>
      <c r="R163" s="153" t="str">
        <f t="shared" si="50"/>
        <v>julio</v>
      </c>
      <c r="S163" s="145">
        <f>+A163+45</f>
        <v>46229</v>
      </c>
      <c r="T163" s="14">
        <f t="shared" si="62"/>
        <v>41</v>
      </c>
      <c r="U163" s="14" t="str">
        <f t="shared" si="51"/>
        <v>junio</v>
      </c>
    </row>
    <row r="164" spans="1:21" x14ac:dyDescent="0.25">
      <c r="A164" s="145">
        <v>46185</v>
      </c>
      <c r="B164" s="146" t="s">
        <v>68</v>
      </c>
      <c r="C164" s="147" t="s">
        <v>716</v>
      </c>
      <c r="D164" s="148" t="s">
        <v>39</v>
      </c>
      <c r="E164" s="146" t="s">
        <v>717</v>
      </c>
      <c r="F164" s="148" t="s">
        <v>117</v>
      </c>
      <c r="G164" s="149">
        <v>191620392.55000001</v>
      </c>
      <c r="H164" s="149">
        <v>3832407.85</v>
      </c>
      <c r="I164" s="149">
        <f t="shared" si="44"/>
        <v>40240282.439999998</v>
      </c>
      <c r="J164" s="150">
        <f t="shared" si="58"/>
        <v>235693082.84</v>
      </c>
      <c r="K164" s="149">
        <f t="shared" si="49"/>
        <v>235693082.84</v>
      </c>
      <c r="L164" s="151"/>
      <c r="M164" s="152">
        <f t="shared" si="64"/>
        <v>-1</v>
      </c>
      <c r="N164" s="146"/>
      <c r="O164" s="145">
        <v>46225</v>
      </c>
      <c r="P164" s="145"/>
      <c r="Q164" s="146"/>
      <c r="R164" s="153" t="str">
        <f t="shared" si="50"/>
        <v>julio</v>
      </c>
      <c r="S164" s="145">
        <f>+A164+45</f>
        <v>46230</v>
      </c>
      <c r="T164" s="14">
        <f t="shared" si="62"/>
        <v>40</v>
      </c>
      <c r="U164" s="14" t="str">
        <f t="shared" si="51"/>
        <v>junio</v>
      </c>
    </row>
    <row r="165" spans="1:21" x14ac:dyDescent="0.25">
      <c r="A165" s="145">
        <v>46185</v>
      </c>
      <c r="B165" s="146" t="s">
        <v>68</v>
      </c>
      <c r="C165" s="147" t="s">
        <v>718</v>
      </c>
      <c r="D165" s="148" t="s">
        <v>123</v>
      </c>
      <c r="E165" s="146" t="s">
        <v>719</v>
      </c>
      <c r="F165" s="148" t="s">
        <v>125</v>
      </c>
      <c r="G165" s="149">
        <v>55218022.799999997</v>
      </c>
      <c r="H165" s="149">
        <v>1104360.46</v>
      </c>
      <c r="I165" s="149">
        <f t="shared" si="44"/>
        <v>11595784.789999999</v>
      </c>
      <c r="J165" s="150">
        <f t="shared" si="58"/>
        <v>1380947.7581999972</v>
      </c>
      <c r="K165" s="154">
        <f t="shared" si="49"/>
        <v>67918168.049999997</v>
      </c>
      <c r="L165" s="151">
        <f>72083851.33-L166</f>
        <v>66537220.2918</v>
      </c>
      <c r="M165" s="152">
        <f t="shared" si="64"/>
        <v>-2.0332523650864243E-2</v>
      </c>
      <c r="N165" s="155" t="s">
        <v>75</v>
      </c>
      <c r="O165" s="145">
        <v>46204</v>
      </c>
      <c r="P165" s="145">
        <v>46204</v>
      </c>
      <c r="Q165" s="146" t="s">
        <v>72</v>
      </c>
      <c r="R165" s="153" t="str">
        <f t="shared" si="50"/>
        <v>julio</v>
      </c>
      <c r="S165" s="145">
        <f t="shared" ref="S165:S166" si="65">+A165+30</f>
        <v>46215</v>
      </c>
      <c r="T165" s="14">
        <f t="shared" si="62"/>
        <v>19</v>
      </c>
      <c r="U165" s="14" t="str">
        <f t="shared" si="51"/>
        <v>junio</v>
      </c>
    </row>
    <row r="166" spans="1:21" x14ac:dyDescent="0.25">
      <c r="A166" s="145">
        <v>46185</v>
      </c>
      <c r="B166" s="146" t="s">
        <v>68</v>
      </c>
      <c r="C166" s="147" t="s">
        <v>720</v>
      </c>
      <c r="D166" s="148" t="s">
        <v>123</v>
      </c>
      <c r="E166" s="146" t="s">
        <v>719</v>
      </c>
      <c r="F166" s="148" t="s">
        <v>125</v>
      </c>
      <c r="G166" s="149">
        <v>4601485.84</v>
      </c>
      <c r="H166" s="149">
        <v>92029.72</v>
      </c>
      <c r="I166" s="149">
        <f t="shared" si="44"/>
        <v>966312.03</v>
      </c>
      <c r="J166" s="150">
        <f t="shared" si="58"/>
        <v>113196.55180000048</v>
      </c>
      <c r="K166" s="154">
        <f t="shared" si="49"/>
        <v>5659827.5899999999</v>
      </c>
      <c r="L166" s="151">
        <f>+K166*98%</f>
        <v>5546631.0381999994</v>
      </c>
      <c r="M166" s="152">
        <f t="shared" si="64"/>
        <v>-2.0000000000000129E-2</v>
      </c>
      <c r="N166" s="155" t="s">
        <v>75</v>
      </c>
      <c r="O166" s="145">
        <v>46204</v>
      </c>
      <c r="P166" s="145">
        <v>46204</v>
      </c>
      <c r="Q166" s="146" t="s">
        <v>72</v>
      </c>
      <c r="R166" s="153" t="str">
        <f t="shared" si="50"/>
        <v>julio</v>
      </c>
      <c r="S166" s="145">
        <f t="shared" si="65"/>
        <v>46215</v>
      </c>
      <c r="T166" s="14">
        <f t="shared" si="62"/>
        <v>19</v>
      </c>
      <c r="U166" s="14" t="str">
        <f t="shared" si="51"/>
        <v>junio</v>
      </c>
    </row>
    <row r="167" spans="1:21" x14ac:dyDescent="0.25">
      <c r="A167" s="145">
        <v>46192</v>
      </c>
      <c r="B167" s="146" t="s">
        <v>68</v>
      </c>
      <c r="C167" s="147" t="s">
        <v>756</v>
      </c>
      <c r="D167" s="148" t="s">
        <v>38</v>
      </c>
      <c r="E167" s="146" t="s">
        <v>757</v>
      </c>
      <c r="F167" s="148" t="s">
        <v>114</v>
      </c>
      <c r="G167" s="149">
        <v>4734576.91</v>
      </c>
      <c r="H167" s="149">
        <v>0</v>
      </c>
      <c r="I167" s="149">
        <f t="shared" si="44"/>
        <v>994261.15</v>
      </c>
      <c r="J167" s="150">
        <f t="shared" si="58"/>
        <v>5728838.0600000005</v>
      </c>
      <c r="K167" s="149">
        <f t="shared" si="49"/>
        <v>5728838.0600000005</v>
      </c>
      <c r="L167" s="151">
        <v>0</v>
      </c>
      <c r="M167" s="152">
        <f t="shared" si="64"/>
        <v>-1</v>
      </c>
      <c r="N167" s="146" t="s">
        <v>143</v>
      </c>
      <c r="O167" s="145" t="s">
        <v>143</v>
      </c>
      <c r="P167" s="145" t="s">
        <v>143</v>
      </c>
      <c r="Q167" s="146" t="s">
        <v>143</v>
      </c>
      <c r="R167" s="153" t="str">
        <f t="shared" si="50"/>
        <v>agosto</v>
      </c>
      <c r="S167" s="145">
        <f t="shared" ref="S167:S177" si="66">+A167+60</f>
        <v>46252</v>
      </c>
      <c r="T167" s="14" t="e">
        <f t="shared" si="62"/>
        <v>#VALUE!</v>
      </c>
      <c r="U167" s="14" t="str">
        <f t="shared" si="51"/>
        <v>junio</v>
      </c>
    </row>
    <row r="168" spans="1:21" x14ac:dyDescent="0.25">
      <c r="A168" s="145">
        <v>46192</v>
      </c>
      <c r="B168" s="146" t="s">
        <v>68</v>
      </c>
      <c r="C168" s="147" t="s">
        <v>760</v>
      </c>
      <c r="D168" s="148" t="s">
        <v>38</v>
      </c>
      <c r="E168" s="146" t="s">
        <v>757</v>
      </c>
      <c r="F168" s="148" t="s">
        <v>114</v>
      </c>
      <c r="G168" s="149">
        <v>4734576.91</v>
      </c>
      <c r="H168" s="149">
        <v>0</v>
      </c>
      <c r="I168" s="149">
        <f t="shared" si="44"/>
        <v>994261.15</v>
      </c>
      <c r="J168" s="150">
        <f t="shared" si="58"/>
        <v>5728838.0600000005</v>
      </c>
      <c r="K168" s="149">
        <f t="shared" si="49"/>
        <v>5728838.0600000005</v>
      </c>
      <c r="L168" s="151"/>
      <c r="M168" s="152">
        <f t="shared" si="64"/>
        <v>-1</v>
      </c>
      <c r="N168" s="146"/>
      <c r="O168" s="145"/>
      <c r="P168" s="145"/>
      <c r="Q168" s="146"/>
      <c r="R168" s="153" t="str">
        <f t="shared" si="50"/>
        <v>agosto</v>
      </c>
      <c r="S168" s="145">
        <f t="shared" si="66"/>
        <v>46252</v>
      </c>
      <c r="T168" s="14">
        <f t="shared" si="62"/>
        <v>-46192</v>
      </c>
      <c r="U168" s="14" t="str">
        <f t="shared" si="51"/>
        <v>junio</v>
      </c>
    </row>
    <row r="169" spans="1:21" x14ac:dyDescent="0.25">
      <c r="A169" s="145">
        <v>46196</v>
      </c>
      <c r="B169" s="146" t="s">
        <v>140</v>
      </c>
      <c r="C169" s="147" t="s">
        <v>761</v>
      </c>
      <c r="D169" s="148" t="s">
        <v>38</v>
      </c>
      <c r="E169" s="146" t="s">
        <v>762</v>
      </c>
      <c r="F169" s="148" t="s">
        <v>114</v>
      </c>
      <c r="G169" s="149">
        <v>-4734576.91</v>
      </c>
      <c r="H169" s="149">
        <v>0</v>
      </c>
      <c r="I169" s="149">
        <f t="shared" si="44"/>
        <v>-994261.15</v>
      </c>
      <c r="J169" s="150">
        <f t="shared" si="58"/>
        <v>-5728838.0600000005</v>
      </c>
      <c r="K169" s="149">
        <f t="shared" si="49"/>
        <v>-5728838.0600000005</v>
      </c>
      <c r="L169" s="151">
        <v>0</v>
      </c>
      <c r="M169" s="152">
        <f t="shared" si="64"/>
        <v>-1</v>
      </c>
      <c r="N169" s="146" t="s">
        <v>143</v>
      </c>
      <c r="O169" s="145" t="s">
        <v>143</v>
      </c>
      <c r="P169" s="145" t="s">
        <v>143</v>
      </c>
      <c r="Q169" s="146" t="s">
        <v>143</v>
      </c>
      <c r="R169" s="153" t="str">
        <f t="shared" si="50"/>
        <v>agosto</v>
      </c>
      <c r="S169" s="145">
        <f t="shared" si="66"/>
        <v>46256</v>
      </c>
      <c r="T169" s="14" t="e">
        <f t="shared" si="62"/>
        <v>#VALUE!</v>
      </c>
      <c r="U169" s="14" t="str">
        <f t="shared" si="51"/>
        <v>junio</v>
      </c>
    </row>
    <row r="170" spans="1:21" x14ac:dyDescent="0.25">
      <c r="A170" s="145">
        <v>46204</v>
      </c>
      <c r="B170" s="146" t="s">
        <v>68</v>
      </c>
      <c r="C170" s="147" t="s">
        <v>764</v>
      </c>
      <c r="D170" s="148" t="s">
        <v>31</v>
      </c>
      <c r="E170" s="146" t="s">
        <v>692</v>
      </c>
      <c r="F170" s="148" t="s">
        <v>70</v>
      </c>
      <c r="G170" s="149">
        <v>60265954.219999999</v>
      </c>
      <c r="H170" s="149">
        <v>0</v>
      </c>
      <c r="I170" s="149">
        <f t="shared" si="44"/>
        <v>12655850.390000001</v>
      </c>
      <c r="J170" s="150">
        <f t="shared" si="58"/>
        <v>72921804.609999999</v>
      </c>
      <c r="K170" s="154">
        <f t="shared" si="49"/>
        <v>72921804.609999999</v>
      </c>
      <c r="L170" s="151">
        <v>0</v>
      </c>
      <c r="M170" s="152">
        <f t="shared" si="64"/>
        <v>-1</v>
      </c>
      <c r="N170" s="146" t="s">
        <v>143</v>
      </c>
      <c r="O170" s="145" t="s">
        <v>143</v>
      </c>
      <c r="P170" s="145" t="s">
        <v>143</v>
      </c>
      <c r="Q170" s="146" t="s">
        <v>143</v>
      </c>
      <c r="R170" s="153" t="str">
        <f t="shared" si="50"/>
        <v>agosto</v>
      </c>
      <c r="S170" s="145">
        <f t="shared" si="66"/>
        <v>46264</v>
      </c>
      <c r="T170" s="14" t="e">
        <f t="shared" si="62"/>
        <v>#VALUE!</v>
      </c>
      <c r="U170" s="14" t="str">
        <f t="shared" si="51"/>
        <v>julio</v>
      </c>
    </row>
    <row r="171" spans="1:21" x14ac:dyDescent="0.25">
      <c r="A171" s="145">
        <v>46205</v>
      </c>
      <c r="B171" s="146" t="s">
        <v>68</v>
      </c>
      <c r="C171" s="147" t="s">
        <v>765</v>
      </c>
      <c r="D171" s="148" t="s">
        <v>38</v>
      </c>
      <c r="E171" s="146" t="s">
        <v>766</v>
      </c>
      <c r="F171" s="148" t="s">
        <v>114</v>
      </c>
      <c r="G171" s="149">
        <v>2543151.33</v>
      </c>
      <c r="H171" s="149">
        <v>0</v>
      </c>
      <c r="I171" s="149">
        <f t="shared" si="44"/>
        <v>534061.78</v>
      </c>
      <c r="J171" s="150">
        <f t="shared" si="58"/>
        <v>3077213.1100000003</v>
      </c>
      <c r="K171" s="149">
        <f t="shared" si="49"/>
        <v>3077213.1100000003</v>
      </c>
      <c r="L171" s="151">
        <v>0</v>
      </c>
      <c r="M171" s="152">
        <f t="shared" si="64"/>
        <v>-1</v>
      </c>
      <c r="N171" s="146" t="s">
        <v>143</v>
      </c>
      <c r="O171" s="145" t="s">
        <v>143</v>
      </c>
      <c r="P171" s="145" t="s">
        <v>143</v>
      </c>
      <c r="Q171" s="146" t="s">
        <v>143</v>
      </c>
      <c r="R171" s="153" t="str">
        <f t="shared" si="50"/>
        <v>agosto</v>
      </c>
      <c r="S171" s="145">
        <f t="shared" si="66"/>
        <v>46265</v>
      </c>
      <c r="T171" s="14" t="e">
        <f t="shared" si="62"/>
        <v>#VALUE!</v>
      </c>
      <c r="U171" s="14" t="str">
        <f t="shared" si="51"/>
        <v>julio</v>
      </c>
    </row>
    <row r="172" spans="1:21" x14ac:dyDescent="0.25">
      <c r="A172" s="145">
        <v>46205</v>
      </c>
      <c r="B172" s="146" t="s">
        <v>140</v>
      </c>
      <c r="C172" s="147" t="s">
        <v>767</v>
      </c>
      <c r="D172" s="148" t="s">
        <v>38</v>
      </c>
      <c r="E172" s="146" t="s">
        <v>768</v>
      </c>
      <c r="F172" s="148" t="s">
        <v>114</v>
      </c>
      <c r="G172" s="149">
        <v>-2543151.33</v>
      </c>
      <c r="H172" s="149">
        <v>0</v>
      </c>
      <c r="I172" s="149">
        <f t="shared" si="44"/>
        <v>-534061.78</v>
      </c>
      <c r="J172" s="150">
        <f t="shared" si="58"/>
        <v>-3077213.1100000003</v>
      </c>
      <c r="K172" s="149">
        <f t="shared" si="49"/>
        <v>-3077213.1100000003</v>
      </c>
      <c r="L172" s="151">
        <v>0</v>
      </c>
      <c r="M172" s="152">
        <f t="shared" si="64"/>
        <v>-1</v>
      </c>
      <c r="N172" s="146" t="s">
        <v>143</v>
      </c>
      <c r="O172" s="145" t="s">
        <v>143</v>
      </c>
      <c r="P172" s="145" t="s">
        <v>143</v>
      </c>
      <c r="Q172" s="146" t="s">
        <v>143</v>
      </c>
      <c r="R172" s="153" t="str">
        <f t="shared" si="50"/>
        <v>agosto</v>
      </c>
      <c r="S172" s="145">
        <f t="shared" si="66"/>
        <v>46265</v>
      </c>
      <c r="T172" s="14" t="e">
        <f t="shared" si="62"/>
        <v>#VALUE!</v>
      </c>
      <c r="U172" s="14" t="str">
        <f t="shared" si="51"/>
        <v>julio</v>
      </c>
    </row>
    <row r="173" spans="1:21" x14ac:dyDescent="0.25">
      <c r="A173" s="145">
        <v>46205</v>
      </c>
      <c r="B173" s="146" t="s">
        <v>68</v>
      </c>
      <c r="C173" s="147" t="s">
        <v>769</v>
      </c>
      <c r="D173" s="148" t="s">
        <v>38</v>
      </c>
      <c r="E173" s="146" t="s">
        <v>766</v>
      </c>
      <c r="F173" s="148" t="s">
        <v>114</v>
      </c>
      <c r="G173" s="149">
        <v>2543151.33</v>
      </c>
      <c r="H173" s="149">
        <v>0</v>
      </c>
      <c r="I173" s="149">
        <f t="shared" si="44"/>
        <v>534061.78</v>
      </c>
      <c r="J173" s="150">
        <f t="shared" si="58"/>
        <v>3077213.1100000003</v>
      </c>
      <c r="K173" s="149">
        <f t="shared" si="49"/>
        <v>3077213.1100000003</v>
      </c>
      <c r="L173" s="151"/>
      <c r="M173" s="152">
        <f t="shared" si="64"/>
        <v>-1</v>
      </c>
      <c r="N173" s="146"/>
      <c r="O173" s="145"/>
      <c r="P173" s="145"/>
      <c r="Q173" s="146"/>
      <c r="R173" s="153" t="str">
        <f t="shared" si="50"/>
        <v>agosto</v>
      </c>
      <c r="S173" s="145">
        <f t="shared" si="66"/>
        <v>46265</v>
      </c>
      <c r="T173" s="14">
        <f t="shared" si="62"/>
        <v>-46205</v>
      </c>
      <c r="U173" s="14" t="str">
        <f t="shared" si="51"/>
        <v>julio</v>
      </c>
    </row>
    <row r="174" spans="1:21" x14ac:dyDescent="0.25">
      <c r="A174" s="145">
        <v>46205</v>
      </c>
      <c r="B174" s="146" t="s">
        <v>140</v>
      </c>
      <c r="C174" s="147" t="s">
        <v>770</v>
      </c>
      <c r="D174" s="148" t="s">
        <v>31</v>
      </c>
      <c r="E174" s="146" t="s">
        <v>771</v>
      </c>
      <c r="F174" s="148" t="s">
        <v>70</v>
      </c>
      <c r="G174" s="149">
        <v>-60265954.219999999</v>
      </c>
      <c r="H174" s="149">
        <v>0</v>
      </c>
      <c r="I174" s="149">
        <f t="shared" si="44"/>
        <v>-12655850.390000001</v>
      </c>
      <c r="J174" s="150">
        <f t="shared" si="58"/>
        <v>-72921804.609999999</v>
      </c>
      <c r="K174" s="154">
        <f t="shared" si="49"/>
        <v>-72921804.609999999</v>
      </c>
      <c r="L174" s="151">
        <v>0</v>
      </c>
      <c r="M174" s="152">
        <f t="shared" si="64"/>
        <v>-1</v>
      </c>
      <c r="N174" s="146" t="s">
        <v>143</v>
      </c>
      <c r="O174" s="145" t="s">
        <v>143</v>
      </c>
      <c r="P174" s="145" t="s">
        <v>143</v>
      </c>
      <c r="Q174" s="146" t="s">
        <v>143</v>
      </c>
      <c r="R174" s="153" t="str">
        <f t="shared" si="50"/>
        <v>agosto</v>
      </c>
      <c r="S174" s="145">
        <f t="shared" si="66"/>
        <v>46265</v>
      </c>
      <c r="T174" s="14" t="e">
        <f t="shared" si="62"/>
        <v>#VALUE!</v>
      </c>
      <c r="U174" s="14" t="str">
        <f t="shared" si="51"/>
        <v>julio</v>
      </c>
    </row>
    <row r="175" spans="1:21" x14ac:dyDescent="0.25">
      <c r="A175" s="145">
        <v>46205</v>
      </c>
      <c r="B175" s="146" t="s">
        <v>68</v>
      </c>
      <c r="C175" s="147" t="s">
        <v>772</v>
      </c>
      <c r="D175" s="148" t="s">
        <v>31</v>
      </c>
      <c r="E175" s="146" t="s">
        <v>692</v>
      </c>
      <c r="F175" s="148" t="s">
        <v>70</v>
      </c>
      <c r="G175" s="149">
        <v>70727029.620000005</v>
      </c>
      <c r="H175" s="149">
        <v>0</v>
      </c>
      <c r="I175" s="149">
        <f t="shared" si="44"/>
        <v>14852676.220000001</v>
      </c>
      <c r="J175" s="150">
        <f t="shared" si="58"/>
        <v>85579705.840000004</v>
      </c>
      <c r="K175" s="154">
        <f t="shared" si="49"/>
        <v>85579705.840000004</v>
      </c>
      <c r="L175" s="151"/>
      <c r="M175" s="152">
        <f t="shared" si="64"/>
        <v>-1</v>
      </c>
      <c r="N175" s="146"/>
      <c r="O175" s="145"/>
      <c r="P175" s="145"/>
      <c r="Q175" s="146"/>
      <c r="R175" s="153" t="str">
        <f t="shared" si="50"/>
        <v>agosto</v>
      </c>
      <c r="S175" s="145">
        <f t="shared" si="66"/>
        <v>46265</v>
      </c>
      <c r="T175" s="14">
        <f t="shared" si="62"/>
        <v>-46205</v>
      </c>
      <c r="U175" s="14" t="str">
        <f t="shared" si="51"/>
        <v>julio</v>
      </c>
    </row>
    <row r="176" spans="1:21" x14ac:dyDescent="0.25">
      <c r="A176" s="145">
        <v>46210</v>
      </c>
      <c r="B176" s="146" t="s">
        <v>68</v>
      </c>
      <c r="C176" s="147" t="s">
        <v>778</v>
      </c>
      <c r="D176" s="156" t="s">
        <v>35</v>
      </c>
      <c r="E176" s="146" t="s">
        <v>692</v>
      </c>
      <c r="F176" s="148" t="s">
        <v>89</v>
      </c>
      <c r="G176" s="149">
        <v>24064996.760000002</v>
      </c>
      <c r="H176" s="149">
        <v>1203249.8400000001</v>
      </c>
      <c r="I176" s="149">
        <f t="shared" si="44"/>
        <v>5053649.32</v>
      </c>
      <c r="J176" s="150">
        <f t="shared" si="58"/>
        <v>30321895.920000002</v>
      </c>
      <c r="K176" s="149">
        <f t="shared" si="49"/>
        <v>30321895.920000002</v>
      </c>
      <c r="L176" s="151"/>
      <c r="M176" s="152">
        <f t="shared" si="64"/>
        <v>-1</v>
      </c>
      <c r="N176" s="153"/>
      <c r="O176" s="145"/>
      <c r="P176" s="145"/>
      <c r="Q176" s="153"/>
      <c r="R176" s="153" t="str">
        <f t="shared" si="50"/>
        <v>septiembre</v>
      </c>
      <c r="S176" s="145">
        <f t="shared" si="66"/>
        <v>46270</v>
      </c>
      <c r="T176" s="14">
        <f t="shared" si="62"/>
        <v>-46210</v>
      </c>
      <c r="U176" s="14" t="str">
        <f t="shared" si="51"/>
        <v>julio</v>
      </c>
    </row>
    <row r="177" spans="1:21" x14ac:dyDescent="0.25">
      <c r="A177" s="145">
        <v>46210</v>
      </c>
      <c r="B177" s="146" t="s">
        <v>68</v>
      </c>
      <c r="C177" s="147" t="s">
        <v>779</v>
      </c>
      <c r="D177" s="156" t="s">
        <v>36</v>
      </c>
      <c r="E177" s="146" t="s">
        <v>692</v>
      </c>
      <c r="F177" s="148" t="s">
        <v>91</v>
      </c>
      <c r="G177" s="149">
        <v>2813891.41</v>
      </c>
      <c r="H177" s="149">
        <v>0</v>
      </c>
      <c r="I177" s="149">
        <f t="shared" si="44"/>
        <v>590917.19999999995</v>
      </c>
      <c r="J177" s="150">
        <f t="shared" si="58"/>
        <v>3404808.6100000003</v>
      </c>
      <c r="K177" s="149">
        <f t="shared" si="49"/>
        <v>3404808.6100000003</v>
      </c>
      <c r="L177" s="151"/>
      <c r="M177" s="152">
        <f t="shared" si="64"/>
        <v>-1</v>
      </c>
      <c r="N177" s="153"/>
      <c r="O177" s="145"/>
      <c r="P177" s="145"/>
      <c r="Q177" s="153"/>
      <c r="R177" s="153" t="str">
        <f t="shared" si="50"/>
        <v>septiembre</v>
      </c>
      <c r="S177" s="145">
        <f t="shared" si="66"/>
        <v>46270</v>
      </c>
      <c r="T177" s="14">
        <v>-46028</v>
      </c>
      <c r="U177" s="14" t="str">
        <f t="shared" si="51"/>
        <v>julio</v>
      </c>
    </row>
    <row r="178" spans="1:21" x14ac:dyDescent="0.25">
      <c r="A178" s="145">
        <v>46210</v>
      </c>
      <c r="B178" s="146" t="s">
        <v>68</v>
      </c>
      <c r="C178" s="147" t="s">
        <v>780</v>
      </c>
      <c r="D178" s="148" t="s">
        <v>39</v>
      </c>
      <c r="E178" s="146" t="s">
        <v>781</v>
      </c>
      <c r="F178" s="148" t="s">
        <v>117</v>
      </c>
      <c r="G178" s="149">
        <v>213229349.06999999</v>
      </c>
      <c r="H178" s="149">
        <v>5330733.7300000004</v>
      </c>
      <c r="I178" s="149">
        <f t="shared" si="44"/>
        <v>44778163.299999997</v>
      </c>
      <c r="J178" s="150">
        <f t="shared" si="58"/>
        <v>263338246.09999996</v>
      </c>
      <c r="K178" s="149">
        <f t="shared" si="49"/>
        <v>263338246.09999996</v>
      </c>
      <c r="L178" s="151"/>
      <c r="M178" s="152">
        <f t="shared" si="64"/>
        <v>-1</v>
      </c>
      <c r="N178" s="146"/>
      <c r="O178" s="145"/>
      <c r="P178" s="145"/>
      <c r="Q178" s="146"/>
      <c r="R178" s="153" t="str">
        <f t="shared" si="50"/>
        <v>agosto</v>
      </c>
      <c r="S178" s="145">
        <f>+A178+45</f>
        <v>46255</v>
      </c>
      <c r="T178" s="14">
        <f t="shared" ref="T178" si="67">+O178-A178</f>
        <v>-46210</v>
      </c>
      <c r="U178" s="14" t="str">
        <f t="shared" si="51"/>
        <v>julio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9FDF-39E9-4BA3-8AC1-41EE022B6DEF}">
  <dimension ref="A1:T25"/>
  <sheetViews>
    <sheetView workbookViewId="0">
      <selection sqref="A1:T25"/>
    </sheetView>
  </sheetViews>
  <sheetFormatPr baseColWidth="10" defaultRowHeight="15" x14ac:dyDescent="0.25"/>
  <cols>
    <col min="1" max="1" width="11.7109375" bestFit="1" customWidth="1"/>
    <col min="2" max="2" width="11.85546875" bestFit="1" customWidth="1"/>
    <col min="3" max="3" width="13.28515625" bestFit="1" customWidth="1"/>
    <col min="4" max="4" width="18.42578125" bestFit="1" customWidth="1"/>
    <col min="5" max="5" width="32.7109375" bestFit="1" customWidth="1"/>
    <col min="6" max="6" width="13" bestFit="1" customWidth="1"/>
    <col min="7" max="7" width="14.7109375" bestFit="1" customWidth="1"/>
    <col min="8" max="8" width="11.28515625" bestFit="1" customWidth="1"/>
    <col min="9" max="9" width="9.140625" bestFit="1" customWidth="1"/>
    <col min="10" max="12" width="14.7109375" bestFit="1" customWidth="1"/>
    <col min="13" max="13" width="6.28515625" bestFit="1" customWidth="1"/>
    <col min="14" max="14" width="12" bestFit="1" customWidth="1"/>
    <col min="15" max="16" width="10.7109375" bestFit="1" customWidth="1"/>
    <col min="17" max="17" width="6.7109375" bestFit="1" customWidth="1"/>
    <col min="18" max="18" width="9.28515625" bestFit="1" customWidth="1"/>
    <col min="19" max="19" width="9.42578125" bestFit="1" customWidth="1"/>
    <col min="20" max="20" width="10.28515625" bestFit="1" customWidth="1"/>
  </cols>
  <sheetData>
    <row r="1" spans="1:20" ht="25.5" x14ac:dyDescent="0.25">
      <c r="A1" s="141" t="s">
        <v>9</v>
      </c>
      <c r="B1" s="134" t="s">
        <v>10</v>
      </c>
      <c r="C1" s="135" t="s">
        <v>11</v>
      </c>
      <c r="D1" s="133" t="s">
        <v>12</v>
      </c>
      <c r="E1" s="133" t="s">
        <v>13</v>
      </c>
      <c r="F1" s="133" t="s">
        <v>14</v>
      </c>
      <c r="G1" s="136" t="s">
        <v>15</v>
      </c>
      <c r="H1" s="137" t="s">
        <v>16</v>
      </c>
      <c r="I1" s="133" t="s">
        <v>17</v>
      </c>
      <c r="J1" s="143" t="s">
        <v>18</v>
      </c>
      <c r="K1" s="133" t="s">
        <v>19</v>
      </c>
      <c r="L1" s="137" t="s">
        <v>20</v>
      </c>
      <c r="M1" s="133" t="s">
        <v>21</v>
      </c>
      <c r="N1" s="139" t="s">
        <v>22</v>
      </c>
      <c r="O1" s="138" t="s">
        <v>314</v>
      </c>
      <c r="P1" s="139" t="s">
        <v>315</v>
      </c>
      <c r="Q1" s="139" t="s">
        <v>25</v>
      </c>
      <c r="R1" s="140" t="s">
        <v>26</v>
      </c>
      <c r="S1" s="142" t="s">
        <v>27</v>
      </c>
      <c r="T1" s="138" t="s">
        <v>28</v>
      </c>
    </row>
    <row r="2" spans="1:20" x14ac:dyDescent="0.25">
      <c r="A2" s="145">
        <v>46037</v>
      </c>
      <c r="B2" s="146" t="s">
        <v>316</v>
      </c>
      <c r="C2" s="147">
        <v>85</v>
      </c>
      <c r="D2" s="148" t="s">
        <v>317</v>
      </c>
      <c r="E2" s="146" t="s">
        <v>67</v>
      </c>
      <c r="F2" s="148" t="s">
        <v>318</v>
      </c>
      <c r="G2" s="157">
        <v>923.71</v>
      </c>
      <c r="H2" s="157">
        <v>0</v>
      </c>
      <c r="I2" s="157">
        <v>0</v>
      </c>
      <c r="J2" s="158">
        <f t="shared" ref="J2:J25" si="0">+K2-L2</f>
        <v>260.93000000000006</v>
      </c>
      <c r="K2" s="159">
        <f t="shared" ref="K2:K25" si="1">SUM(G2:I2)</f>
        <v>923.71</v>
      </c>
      <c r="L2" s="161">
        <v>662.78</v>
      </c>
      <c r="M2" s="152">
        <f t="shared" ref="M2:M25" si="2">(L2/K2)-1</f>
        <v>-0.28248043217026997</v>
      </c>
      <c r="N2" s="155" t="s">
        <v>75</v>
      </c>
      <c r="O2" s="145">
        <v>46048</v>
      </c>
      <c r="P2" s="145">
        <v>46048</v>
      </c>
      <c r="Q2" s="146" t="s">
        <v>319</v>
      </c>
      <c r="R2" s="153" t="str">
        <f t="shared" ref="R2:R25" si="3">+TEXT(S2,"mmmm")</f>
        <v>febrero</v>
      </c>
      <c r="S2" s="145">
        <f>+A2+30</f>
        <v>46067</v>
      </c>
      <c r="T2" s="14">
        <f>+O2-A2</f>
        <v>11</v>
      </c>
    </row>
    <row r="3" spans="1:20" x14ac:dyDescent="0.25">
      <c r="A3" s="145">
        <v>46054</v>
      </c>
      <c r="B3" s="146" t="s">
        <v>316</v>
      </c>
      <c r="C3" s="147">
        <v>86</v>
      </c>
      <c r="D3" s="156" t="s">
        <v>320</v>
      </c>
      <c r="E3" s="146" t="s">
        <v>321</v>
      </c>
      <c r="F3" s="160">
        <v>210737040017</v>
      </c>
      <c r="G3" s="162">
        <v>16214.96</v>
      </c>
      <c r="H3" s="162">
        <v>0</v>
      </c>
      <c r="I3" s="162">
        <v>0</v>
      </c>
      <c r="J3" s="161">
        <f t="shared" si="0"/>
        <v>1945.7952000000005</v>
      </c>
      <c r="K3" s="162">
        <f t="shared" si="1"/>
        <v>16214.96</v>
      </c>
      <c r="L3" s="161">
        <f>+K3*88%</f>
        <v>14269.164799999999</v>
      </c>
      <c r="M3" s="152">
        <f t="shared" si="2"/>
        <v>-0.12</v>
      </c>
      <c r="N3" s="146" t="s">
        <v>75</v>
      </c>
      <c r="O3" s="145">
        <v>46132</v>
      </c>
      <c r="P3" s="145">
        <v>46132</v>
      </c>
      <c r="Q3" s="146" t="s">
        <v>319</v>
      </c>
      <c r="R3" s="153" t="str">
        <f t="shared" si="3"/>
        <v>marzo</v>
      </c>
      <c r="S3" s="145">
        <f t="shared" ref="S3:S5" si="4">+A3+45</f>
        <v>46099</v>
      </c>
      <c r="T3" s="14">
        <f t="shared" ref="T3:T5" si="5">+O3-A3</f>
        <v>78</v>
      </c>
    </row>
    <row r="4" spans="1:20" x14ac:dyDescent="0.25">
      <c r="A4" s="145">
        <v>46054</v>
      </c>
      <c r="B4" s="146" t="s">
        <v>316</v>
      </c>
      <c r="C4" s="147">
        <v>87</v>
      </c>
      <c r="D4" s="156" t="s">
        <v>320</v>
      </c>
      <c r="E4" s="146" t="s">
        <v>322</v>
      </c>
      <c r="F4" s="160">
        <v>210737040017</v>
      </c>
      <c r="G4" s="162">
        <v>2400</v>
      </c>
      <c r="H4" s="162">
        <v>0</v>
      </c>
      <c r="I4" s="162">
        <v>0</v>
      </c>
      <c r="J4" s="161">
        <f t="shared" si="0"/>
        <v>288</v>
      </c>
      <c r="K4" s="162">
        <f t="shared" si="1"/>
        <v>2400</v>
      </c>
      <c r="L4" s="161">
        <f>+K4*88%</f>
        <v>2112</v>
      </c>
      <c r="M4" s="152">
        <f t="shared" si="2"/>
        <v>-0.12</v>
      </c>
      <c r="N4" s="146" t="s">
        <v>75</v>
      </c>
      <c r="O4" s="145">
        <v>46132</v>
      </c>
      <c r="P4" s="145">
        <v>46132</v>
      </c>
      <c r="Q4" s="146" t="s">
        <v>319</v>
      </c>
      <c r="R4" s="153" t="str">
        <f t="shared" si="3"/>
        <v>marzo</v>
      </c>
      <c r="S4" s="145">
        <f t="shared" si="4"/>
        <v>46099</v>
      </c>
      <c r="T4" s="14">
        <f t="shared" si="5"/>
        <v>78</v>
      </c>
    </row>
    <row r="5" spans="1:20" x14ac:dyDescent="0.25">
      <c r="A5" s="145">
        <v>46054</v>
      </c>
      <c r="B5" s="146" t="s">
        <v>316</v>
      </c>
      <c r="C5" s="147">
        <v>88</v>
      </c>
      <c r="D5" s="156" t="s">
        <v>320</v>
      </c>
      <c r="E5" s="146" t="s">
        <v>323</v>
      </c>
      <c r="F5" s="160">
        <v>210737040017</v>
      </c>
      <c r="G5" s="162">
        <v>1599.75</v>
      </c>
      <c r="H5" s="162">
        <v>0</v>
      </c>
      <c r="I5" s="162">
        <v>0</v>
      </c>
      <c r="J5" s="161">
        <f t="shared" si="0"/>
        <v>191.97000000000003</v>
      </c>
      <c r="K5" s="162">
        <f t="shared" si="1"/>
        <v>1599.75</v>
      </c>
      <c r="L5" s="161">
        <f>+K5*88%</f>
        <v>1407.78</v>
      </c>
      <c r="M5" s="152">
        <f t="shared" si="2"/>
        <v>-0.12</v>
      </c>
      <c r="N5" s="146" t="s">
        <v>75</v>
      </c>
      <c r="O5" s="145">
        <v>46132</v>
      </c>
      <c r="P5" s="145">
        <v>46132</v>
      </c>
      <c r="Q5" s="146" t="s">
        <v>319</v>
      </c>
      <c r="R5" s="153" t="str">
        <f t="shared" si="3"/>
        <v>marzo</v>
      </c>
      <c r="S5" s="145">
        <f t="shared" si="4"/>
        <v>46099</v>
      </c>
      <c r="T5" s="14">
        <f t="shared" si="5"/>
        <v>78</v>
      </c>
    </row>
    <row r="6" spans="1:20" x14ac:dyDescent="0.25">
      <c r="A6" s="145">
        <v>46063</v>
      </c>
      <c r="B6" s="146" t="s">
        <v>316</v>
      </c>
      <c r="C6" s="147">
        <v>89</v>
      </c>
      <c r="D6" s="148" t="s">
        <v>317</v>
      </c>
      <c r="E6" s="146" t="s">
        <v>81</v>
      </c>
      <c r="F6" s="148" t="s">
        <v>318</v>
      </c>
      <c r="G6" s="157">
        <v>1284.6199999999999</v>
      </c>
      <c r="H6" s="157">
        <v>0</v>
      </c>
      <c r="I6" s="157">
        <v>0</v>
      </c>
      <c r="J6" s="158">
        <f t="shared" si="0"/>
        <v>321.15499999999997</v>
      </c>
      <c r="K6" s="159">
        <f t="shared" si="1"/>
        <v>1284.6199999999999</v>
      </c>
      <c r="L6" s="161">
        <f>+K6*75%</f>
        <v>963.46499999999992</v>
      </c>
      <c r="M6" s="152">
        <f t="shared" si="2"/>
        <v>-0.25</v>
      </c>
      <c r="N6" s="155" t="s">
        <v>75</v>
      </c>
      <c r="O6" s="145">
        <v>46080</v>
      </c>
      <c r="P6" s="145">
        <v>46080</v>
      </c>
      <c r="Q6" s="146" t="s">
        <v>319</v>
      </c>
      <c r="R6" s="153" t="str">
        <f t="shared" si="3"/>
        <v>marzo</v>
      </c>
      <c r="S6" s="145">
        <f>+A6+30</f>
        <v>46093</v>
      </c>
      <c r="T6" s="14">
        <f>+O6-A6</f>
        <v>17</v>
      </c>
    </row>
    <row r="7" spans="1:20" x14ac:dyDescent="0.25">
      <c r="A7" s="145">
        <v>46082</v>
      </c>
      <c r="B7" s="146" t="s">
        <v>316</v>
      </c>
      <c r="C7" s="147">
        <v>90</v>
      </c>
      <c r="D7" s="156" t="s">
        <v>320</v>
      </c>
      <c r="E7" s="146" t="s">
        <v>324</v>
      </c>
      <c r="F7" s="160">
        <v>210737040017</v>
      </c>
      <c r="G7" s="162">
        <v>20163.53</v>
      </c>
      <c r="H7" s="162">
        <v>0</v>
      </c>
      <c r="I7" s="162">
        <v>0</v>
      </c>
      <c r="J7" s="161">
        <f t="shared" si="0"/>
        <v>2419.619999999999</v>
      </c>
      <c r="K7" s="162">
        <f t="shared" si="1"/>
        <v>20163.53</v>
      </c>
      <c r="L7" s="161">
        <f>21173.27-L8-L9</f>
        <v>17743.91</v>
      </c>
      <c r="M7" s="152">
        <f t="shared" si="2"/>
        <v>-0.11999982145983368</v>
      </c>
      <c r="N7" s="146" t="s">
        <v>75</v>
      </c>
      <c r="O7" s="145">
        <v>46118</v>
      </c>
      <c r="P7" s="145">
        <v>46118</v>
      </c>
      <c r="Q7" s="146" t="s">
        <v>319</v>
      </c>
      <c r="R7" s="153" t="str">
        <f t="shared" si="3"/>
        <v>abril</v>
      </c>
      <c r="S7" s="145">
        <f t="shared" ref="S7:S9" si="6">+A7+45</f>
        <v>46127</v>
      </c>
      <c r="T7" s="14">
        <f t="shared" ref="T7:T9" si="7">+O7-A7</f>
        <v>36</v>
      </c>
    </row>
    <row r="8" spans="1:20" x14ac:dyDescent="0.25">
      <c r="A8" s="145">
        <v>46082</v>
      </c>
      <c r="B8" s="146" t="s">
        <v>316</v>
      </c>
      <c r="C8" s="147">
        <v>91</v>
      </c>
      <c r="D8" s="156" t="s">
        <v>320</v>
      </c>
      <c r="E8" s="146" t="s">
        <v>325</v>
      </c>
      <c r="F8" s="160">
        <v>210737040017</v>
      </c>
      <c r="G8" s="162">
        <v>2400</v>
      </c>
      <c r="H8" s="162">
        <v>0</v>
      </c>
      <c r="I8" s="162">
        <v>0</v>
      </c>
      <c r="J8" s="161">
        <f t="shared" si="0"/>
        <v>288</v>
      </c>
      <c r="K8" s="162">
        <f t="shared" si="1"/>
        <v>2400</v>
      </c>
      <c r="L8" s="161">
        <f>+K8*88%</f>
        <v>2112</v>
      </c>
      <c r="M8" s="152">
        <f t="shared" si="2"/>
        <v>-0.12</v>
      </c>
      <c r="N8" s="146" t="s">
        <v>75</v>
      </c>
      <c r="O8" s="145">
        <v>46118</v>
      </c>
      <c r="P8" s="145">
        <v>46118</v>
      </c>
      <c r="Q8" s="146" t="s">
        <v>319</v>
      </c>
      <c r="R8" s="153" t="str">
        <f t="shared" si="3"/>
        <v>abril</v>
      </c>
      <c r="S8" s="145">
        <f t="shared" si="6"/>
        <v>46127</v>
      </c>
      <c r="T8" s="14">
        <f t="shared" si="7"/>
        <v>36</v>
      </c>
    </row>
    <row r="9" spans="1:20" x14ac:dyDescent="0.25">
      <c r="A9" s="145">
        <v>46082</v>
      </c>
      <c r="B9" s="146" t="s">
        <v>316</v>
      </c>
      <c r="C9" s="147">
        <v>92</v>
      </c>
      <c r="D9" s="156" t="s">
        <v>320</v>
      </c>
      <c r="E9" s="146" t="s">
        <v>326</v>
      </c>
      <c r="F9" s="160">
        <v>210737040017</v>
      </c>
      <c r="G9" s="162">
        <v>1497</v>
      </c>
      <c r="H9" s="162">
        <v>0</v>
      </c>
      <c r="I9" s="162">
        <v>0</v>
      </c>
      <c r="J9" s="161">
        <f t="shared" si="0"/>
        <v>179.6400000000001</v>
      </c>
      <c r="K9" s="162">
        <f t="shared" si="1"/>
        <v>1497</v>
      </c>
      <c r="L9" s="161">
        <f>+K9*88%</f>
        <v>1317.36</v>
      </c>
      <c r="M9" s="152">
        <f t="shared" si="2"/>
        <v>-0.12000000000000011</v>
      </c>
      <c r="N9" s="146" t="s">
        <v>75</v>
      </c>
      <c r="O9" s="145">
        <v>46118</v>
      </c>
      <c r="P9" s="145">
        <v>46118</v>
      </c>
      <c r="Q9" s="146" t="s">
        <v>319</v>
      </c>
      <c r="R9" s="153" t="str">
        <f t="shared" si="3"/>
        <v>abril</v>
      </c>
      <c r="S9" s="145">
        <f t="shared" si="6"/>
        <v>46127</v>
      </c>
      <c r="T9" s="14">
        <f t="shared" si="7"/>
        <v>36</v>
      </c>
    </row>
    <row r="10" spans="1:20" x14ac:dyDescent="0.25">
      <c r="A10" s="145">
        <v>46097</v>
      </c>
      <c r="B10" s="146" t="s">
        <v>316</v>
      </c>
      <c r="C10" s="147">
        <v>93</v>
      </c>
      <c r="D10" s="148" t="s">
        <v>317</v>
      </c>
      <c r="E10" s="146" t="s">
        <v>158</v>
      </c>
      <c r="F10" s="148" t="s">
        <v>318</v>
      </c>
      <c r="G10" s="157">
        <v>790.46</v>
      </c>
      <c r="H10" s="157">
        <v>0</v>
      </c>
      <c r="I10" s="157">
        <v>0</v>
      </c>
      <c r="J10" s="158">
        <f t="shared" si="0"/>
        <v>247.62</v>
      </c>
      <c r="K10" s="159">
        <f t="shared" si="1"/>
        <v>790.46</v>
      </c>
      <c r="L10" s="161">
        <v>542.84</v>
      </c>
      <c r="M10" s="152">
        <f t="shared" si="2"/>
        <v>-0.31326063304911067</v>
      </c>
      <c r="N10" s="155" t="s">
        <v>75</v>
      </c>
      <c r="O10" s="145">
        <v>46112</v>
      </c>
      <c r="P10" s="145">
        <v>46112</v>
      </c>
      <c r="Q10" s="146" t="s">
        <v>319</v>
      </c>
      <c r="R10" s="153" t="str">
        <f t="shared" si="3"/>
        <v>abril</v>
      </c>
      <c r="S10" s="145">
        <f>+A10+30</f>
        <v>46127</v>
      </c>
      <c r="T10" s="14">
        <f>+O10-A10</f>
        <v>15</v>
      </c>
    </row>
    <row r="11" spans="1:20" x14ac:dyDescent="0.25">
      <c r="A11" s="145">
        <v>46113</v>
      </c>
      <c r="B11" s="146" t="s">
        <v>316</v>
      </c>
      <c r="C11" s="147">
        <v>94</v>
      </c>
      <c r="D11" s="156" t="s">
        <v>320</v>
      </c>
      <c r="E11" s="146" t="s">
        <v>327</v>
      </c>
      <c r="F11" s="160">
        <v>210737040017</v>
      </c>
      <c r="G11" s="162">
        <v>17913.98</v>
      </c>
      <c r="H11" s="162">
        <v>0</v>
      </c>
      <c r="I11" s="162">
        <v>0</v>
      </c>
      <c r="J11" s="161">
        <f t="shared" si="0"/>
        <v>2149.6775999999991</v>
      </c>
      <c r="K11" s="162">
        <f t="shared" si="1"/>
        <v>17913.98</v>
      </c>
      <c r="L11" s="161">
        <f t="shared" ref="L11:L13" si="8">+K11*88%</f>
        <v>15764.3024</v>
      </c>
      <c r="M11" s="152">
        <f t="shared" si="2"/>
        <v>-0.12</v>
      </c>
      <c r="N11" s="146" t="s">
        <v>75</v>
      </c>
      <c r="O11" s="145">
        <v>46152</v>
      </c>
      <c r="P11" s="145">
        <v>46152</v>
      </c>
      <c r="Q11" s="146" t="s">
        <v>319</v>
      </c>
      <c r="R11" s="153" t="str">
        <f t="shared" si="3"/>
        <v>mayo</v>
      </c>
      <c r="S11" s="145">
        <f t="shared" ref="S11:S13" si="9">+A11+45</f>
        <v>46158</v>
      </c>
      <c r="T11" s="14">
        <f t="shared" ref="T11:T13" si="10">+O11-A11</f>
        <v>39</v>
      </c>
    </row>
    <row r="12" spans="1:20" x14ac:dyDescent="0.25">
      <c r="A12" s="145">
        <v>46113</v>
      </c>
      <c r="B12" s="146" t="s">
        <v>316</v>
      </c>
      <c r="C12" s="147">
        <v>95</v>
      </c>
      <c r="D12" s="156" t="s">
        <v>320</v>
      </c>
      <c r="E12" s="146" t="s">
        <v>328</v>
      </c>
      <c r="F12" s="160">
        <v>210737040017</v>
      </c>
      <c r="G12" s="162">
        <v>2400</v>
      </c>
      <c r="H12" s="162">
        <v>0</v>
      </c>
      <c r="I12" s="162">
        <v>0</v>
      </c>
      <c r="J12" s="161">
        <f t="shared" si="0"/>
        <v>288</v>
      </c>
      <c r="K12" s="162">
        <f t="shared" si="1"/>
        <v>2400</v>
      </c>
      <c r="L12" s="161">
        <f t="shared" si="8"/>
        <v>2112</v>
      </c>
      <c r="M12" s="152">
        <f t="shared" si="2"/>
        <v>-0.12</v>
      </c>
      <c r="N12" s="146" t="s">
        <v>75</v>
      </c>
      <c r="O12" s="145">
        <v>46152</v>
      </c>
      <c r="P12" s="145">
        <v>46152</v>
      </c>
      <c r="Q12" s="146" t="s">
        <v>319</v>
      </c>
      <c r="R12" s="153" t="str">
        <f t="shared" si="3"/>
        <v>mayo</v>
      </c>
      <c r="S12" s="145">
        <f t="shared" si="9"/>
        <v>46158</v>
      </c>
      <c r="T12" s="14">
        <f t="shared" si="10"/>
        <v>39</v>
      </c>
    </row>
    <row r="13" spans="1:20" x14ac:dyDescent="0.25">
      <c r="A13" s="145">
        <v>46113</v>
      </c>
      <c r="B13" s="146" t="s">
        <v>316</v>
      </c>
      <c r="C13" s="147">
        <v>96</v>
      </c>
      <c r="D13" s="156" t="s">
        <v>320</v>
      </c>
      <c r="E13" s="146" t="s">
        <v>329</v>
      </c>
      <c r="F13" s="160">
        <v>210737040017</v>
      </c>
      <c r="G13" s="162">
        <v>1830.75</v>
      </c>
      <c r="H13" s="162">
        <v>0</v>
      </c>
      <c r="I13" s="162">
        <v>0</v>
      </c>
      <c r="J13" s="161">
        <f t="shared" si="0"/>
        <v>219.69000000000005</v>
      </c>
      <c r="K13" s="162">
        <f t="shared" si="1"/>
        <v>1830.75</v>
      </c>
      <c r="L13" s="161">
        <f t="shared" si="8"/>
        <v>1611.06</v>
      </c>
      <c r="M13" s="152">
        <f t="shared" si="2"/>
        <v>-0.12</v>
      </c>
      <c r="N13" s="146" t="s">
        <v>75</v>
      </c>
      <c r="O13" s="145">
        <v>46152</v>
      </c>
      <c r="P13" s="145">
        <v>46152</v>
      </c>
      <c r="Q13" s="146" t="s">
        <v>319</v>
      </c>
      <c r="R13" s="153" t="str">
        <f t="shared" si="3"/>
        <v>mayo</v>
      </c>
      <c r="S13" s="145">
        <f t="shared" si="9"/>
        <v>46158</v>
      </c>
      <c r="T13" s="14">
        <f t="shared" si="10"/>
        <v>39</v>
      </c>
    </row>
    <row r="14" spans="1:20" x14ac:dyDescent="0.25">
      <c r="A14" s="145">
        <v>46126</v>
      </c>
      <c r="B14" s="146" t="s">
        <v>316</v>
      </c>
      <c r="C14" s="147">
        <v>97</v>
      </c>
      <c r="D14" s="148" t="s">
        <v>317</v>
      </c>
      <c r="E14" s="146" t="s">
        <v>190</v>
      </c>
      <c r="F14" s="148" t="s">
        <v>318</v>
      </c>
      <c r="G14" s="157">
        <v>496.06</v>
      </c>
      <c r="H14" s="157">
        <v>0</v>
      </c>
      <c r="I14" s="157">
        <v>0</v>
      </c>
      <c r="J14" s="158">
        <f t="shared" si="0"/>
        <v>154.01</v>
      </c>
      <c r="K14" s="159">
        <f t="shared" si="1"/>
        <v>496.06</v>
      </c>
      <c r="L14" s="161">
        <v>342.05</v>
      </c>
      <c r="M14" s="152">
        <f t="shared" si="2"/>
        <v>-0.31046647582953668</v>
      </c>
      <c r="N14" s="155" t="s">
        <v>75</v>
      </c>
      <c r="O14" s="145">
        <v>46154</v>
      </c>
      <c r="P14" s="145">
        <v>46155</v>
      </c>
      <c r="Q14" s="146" t="s">
        <v>319</v>
      </c>
      <c r="R14" s="153" t="str">
        <f t="shared" si="3"/>
        <v>mayo</v>
      </c>
      <c r="S14" s="145">
        <f>+A14+30</f>
        <v>46156</v>
      </c>
      <c r="T14" s="14">
        <f>+O14-A14</f>
        <v>28</v>
      </c>
    </row>
    <row r="15" spans="1:20" x14ac:dyDescent="0.25">
      <c r="A15" s="145">
        <v>46143</v>
      </c>
      <c r="B15" s="146" t="s">
        <v>316</v>
      </c>
      <c r="C15" s="147">
        <v>98</v>
      </c>
      <c r="D15" s="156" t="s">
        <v>320</v>
      </c>
      <c r="E15" s="146" t="s">
        <v>330</v>
      </c>
      <c r="F15" s="160">
        <v>210737040017</v>
      </c>
      <c r="G15" s="162">
        <v>17995.439999999999</v>
      </c>
      <c r="H15" s="162">
        <v>0</v>
      </c>
      <c r="I15" s="162">
        <v>0</v>
      </c>
      <c r="J15" s="161">
        <f t="shared" si="0"/>
        <v>2159.4499999999971</v>
      </c>
      <c r="K15" s="162">
        <f t="shared" si="1"/>
        <v>17995.439999999999</v>
      </c>
      <c r="L15" s="161">
        <f>19485.79-L16-L17</f>
        <v>15835.990000000002</v>
      </c>
      <c r="M15" s="152">
        <f t="shared" si="2"/>
        <v>-0.11999984440502687</v>
      </c>
      <c r="N15" s="146" t="s">
        <v>75</v>
      </c>
      <c r="O15" s="145">
        <v>46177</v>
      </c>
      <c r="P15" s="145">
        <v>46177</v>
      </c>
      <c r="Q15" s="146" t="s">
        <v>319</v>
      </c>
      <c r="R15" s="153" t="str">
        <f t="shared" si="3"/>
        <v>junio</v>
      </c>
      <c r="S15" s="145">
        <f t="shared" ref="S15:S17" si="11">+A15+45</f>
        <v>46188</v>
      </c>
      <c r="T15" s="14">
        <f t="shared" ref="T15:T17" si="12">+O15-A15</f>
        <v>34</v>
      </c>
    </row>
    <row r="16" spans="1:20" x14ac:dyDescent="0.25">
      <c r="A16" s="145">
        <v>46143</v>
      </c>
      <c r="B16" s="146" t="s">
        <v>316</v>
      </c>
      <c r="C16" s="147">
        <v>99</v>
      </c>
      <c r="D16" s="156" t="s">
        <v>320</v>
      </c>
      <c r="E16" s="146" t="s">
        <v>331</v>
      </c>
      <c r="F16" s="160">
        <v>210737040017</v>
      </c>
      <c r="G16" s="162">
        <v>2400</v>
      </c>
      <c r="H16" s="162">
        <v>0</v>
      </c>
      <c r="I16" s="162">
        <v>0</v>
      </c>
      <c r="J16" s="161">
        <f t="shared" si="0"/>
        <v>288</v>
      </c>
      <c r="K16" s="162">
        <f t="shared" si="1"/>
        <v>2400</v>
      </c>
      <c r="L16" s="161">
        <f>+K16*88%</f>
        <v>2112</v>
      </c>
      <c r="M16" s="152">
        <f t="shared" si="2"/>
        <v>-0.12</v>
      </c>
      <c r="N16" s="146" t="s">
        <v>75</v>
      </c>
      <c r="O16" s="145">
        <v>46177</v>
      </c>
      <c r="P16" s="145">
        <v>46177</v>
      </c>
      <c r="Q16" s="146" t="s">
        <v>319</v>
      </c>
      <c r="R16" s="153" t="str">
        <f t="shared" si="3"/>
        <v>junio</v>
      </c>
      <c r="S16" s="145">
        <f t="shared" si="11"/>
        <v>46188</v>
      </c>
      <c r="T16" s="14">
        <f t="shared" si="12"/>
        <v>34</v>
      </c>
    </row>
    <row r="17" spans="1:20" x14ac:dyDescent="0.25">
      <c r="A17" s="145">
        <v>46143</v>
      </c>
      <c r="B17" s="146" t="s">
        <v>316</v>
      </c>
      <c r="C17" s="147">
        <v>100</v>
      </c>
      <c r="D17" s="156" t="s">
        <v>320</v>
      </c>
      <c r="E17" s="146" t="s">
        <v>332</v>
      </c>
      <c r="F17" s="160">
        <v>210737040017</v>
      </c>
      <c r="G17" s="162">
        <v>1747.5</v>
      </c>
      <c r="H17" s="162">
        <v>0</v>
      </c>
      <c r="I17" s="162">
        <v>0</v>
      </c>
      <c r="J17" s="161">
        <f t="shared" si="0"/>
        <v>209.70000000000005</v>
      </c>
      <c r="K17" s="162">
        <f t="shared" si="1"/>
        <v>1747.5</v>
      </c>
      <c r="L17" s="161">
        <f>+K17*88%</f>
        <v>1537.8</v>
      </c>
      <c r="M17" s="152">
        <f t="shared" si="2"/>
        <v>-0.12</v>
      </c>
      <c r="N17" s="146" t="s">
        <v>75</v>
      </c>
      <c r="O17" s="145">
        <v>46177</v>
      </c>
      <c r="P17" s="145">
        <v>46177</v>
      </c>
      <c r="Q17" s="146" t="s">
        <v>319</v>
      </c>
      <c r="R17" s="153" t="str">
        <f t="shared" si="3"/>
        <v>junio</v>
      </c>
      <c r="S17" s="145">
        <f t="shared" si="11"/>
        <v>46188</v>
      </c>
      <c r="T17" s="14">
        <f t="shared" si="12"/>
        <v>34</v>
      </c>
    </row>
    <row r="18" spans="1:20" x14ac:dyDescent="0.25">
      <c r="A18" s="145">
        <v>46161</v>
      </c>
      <c r="B18" s="146" t="s">
        <v>316</v>
      </c>
      <c r="C18" s="147">
        <v>101</v>
      </c>
      <c r="D18" s="148" t="s">
        <v>317</v>
      </c>
      <c r="E18" s="146" t="s">
        <v>234</v>
      </c>
      <c r="F18" s="148" t="s">
        <v>318</v>
      </c>
      <c r="G18" s="157">
        <v>176.87</v>
      </c>
      <c r="H18" s="157">
        <v>0</v>
      </c>
      <c r="I18" s="157">
        <v>0</v>
      </c>
      <c r="J18" s="158">
        <f t="shared" si="0"/>
        <v>176.87</v>
      </c>
      <c r="K18" s="159">
        <f t="shared" si="1"/>
        <v>176.87</v>
      </c>
      <c r="L18" s="161"/>
      <c r="M18" s="152">
        <f t="shared" si="2"/>
        <v>-1</v>
      </c>
      <c r="N18" s="155"/>
      <c r="O18" s="145"/>
      <c r="P18" s="145"/>
      <c r="Q18" s="146"/>
      <c r="R18" s="153" t="str">
        <f t="shared" si="3"/>
        <v>junio</v>
      </c>
      <c r="S18" s="145">
        <f>+A18+30</f>
        <v>46191</v>
      </c>
      <c r="T18" s="14">
        <f>+O18-A18</f>
        <v>-46161</v>
      </c>
    </row>
    <row r="19" spans="1:20" x14ac:dyDescent="0.25">
      <c r="A19" s="145">
        <v>46174</v>
      </c>
      <c r="B19" s="146" t="s">
        <v>316</v>
      </c>
      <c r="C19" s="147">
        <v>102</v>
      </c>
      <c r="D19" s="156" t="s">
        <v>320</v>
      </c>
      <c r="E19" s="146" t="s">
        <v>701</v>
      </c>
      <c r="F19" s="160">
        <v>210737040017</v>
      </c>
      <c r="G19" s="162">
        <v>22594.01</v>
      </c>
      <c r="H19" s="162">
        <v>0</v>
      </c>
      <c r="I19" s="162">
        <v>0</v>
      </c>
      <c r="J19" s="161">
        <f t="shared" si="0"/>
        <v>2711.2812000000013</v>
      </c>
      <c r="K19" s="162">
        <f t="shared" si="1"/>
        <v>22594.01</v>
      </c>
      <c r="L19" s="161">
        <f>+K19*88%</f>
        <v>19882.728799999997</v>
      </c>
      <c r="M19" s="152">
        <f t="shared" si="2"/>
        <v>-0.12000000000000011</v>
      </c>
      <c r="N19" s="146" t="s">
        <v>75</v>
      </c>
      <c r="O19" s="145">
        <v>46208</v>
      </c>
      <c r="P19" s="145">
        <v>46208</v>
      </c>
      <c r="Q19" s="146" t="s">
        <v>319</v>
      </c>
      <c r="R19" s="153" t="str">
        <f t="shared" si="3"/>
        <v>julio</v>
      </c>
      <c r="S19" s="145">
        <f t="shared" ref="S19:S21" si="13">+A19+45</f>
        <v>46219</v>
      </c>
      <c r="T19" s="14">
        <f t="shared" ref="T19:T21" si="14">+O19-A19</f>
        <v>34</v>
      </c>
    </row>
    <row r="20" spans="1:20" x14ac:dyDescent="0.25">
      <c r="A20" s="145">
        <v>46174</v>
      </c>
      <c r="B20" s="146" t="s">
        <v>316</v>
      </c>
      <c r="C20" s="147">
        <v>103</v>
      </c>
      <c r="D20" s="156" t="s">
        <v>320</v>
      </c>
      <c r="E20" s="146" t="s">
        <v>702</v>
      </c>
      <c r="F20" s="160">
        <v>210737040017</v>
      </c>
      <c r="G20" s="162">
        <v>2460</v>
      </c>
      <c r="H20" s="162">
        <v>0</v>
      </c>
      <c r="I20" s="162">
        <v>0</v>
      </c>
      <c r="J20" s="161">
        <f t="shared" si="0"/>
        <v>295.19999999999982</v>
      </c>
      <c r="K20" s="162">
        <f t="shared" si="1"/>
        <v>2460</v>
      </c>
      <c r="L20" s="161">
        <f>+K20*88%</f>
        <v>2164.8000000000002</v>
      </c>
      <c r="M20" s="152">
        <f t="shared" si="2"/>
        <v>-0.11999999999999988</v>
      </c>
      <c r="N20" s="146" t="s">
        <v>75</v>
      </c>
      <c r="O20" s="145">
        <v>46208</v>
      </c>
      <c r="P20" s="145">
        <v>46208</v>
      </c>
      <c r="Q20" s="14" t="s">
        <v>319</v>
      </c>
      <c r="R20" s="153" t="str">
        <f t="shared" si="3"/>
        <v>julio</v>
      </c>
      <c r="S20" s="145">
        <f t="shared" si="13"/>
        <v>46219</v>
      </c>
      <c r="T20" s="14">
        <f t="shared" si="14"/>
        <v>34</v>
      </c>
    </row>
    <row r="21" spans="1:20" x14ac:dyDescent="0.25">
      <c r="A21" s="145">
        <v>46174</v>
      </c>
      <c r="B21" s="146" t="s">
        <v>316</v>
      </c>
      <c r="C21" s="147">
        <v>104</v>
      </c>
      <c r="D21" s="156" t="s">
        <v>320</v>
      </c>
      <c r="E21" s="146" t="s">
        <v>703</v>
      </c>
      <c r="F21" s="160">
        <v>210737040017</v>
      </c>
      <c r="G21" s="162">
        <v>2584.5</v>
      </c>
      <c r="H21" s="162">
        <v>0</v>
      </c>
      <c r="I21" s="162">
        <v>0</v>
      </c>
      <c r="J21" s="161">
        <f t="shared" si="0"/>
        <v>310.13999999999987</v>
      </c>
      <c r="K21" s="162">
        <f t="shared" si="1"/>
        <v>2584.5</v>
      </c>
      <c r="L21" s="161">
        <f>+K21*88%</f>
        <v>2274.36</v>
      </c>
      <c r="M21" s="152">
        <f t="shared" si="2"/>
        <v>-0.12</v>
      </c>
      <c r="N21" s="146" t="s">
        <v>75</v>
      </c>
      <c r="O21" s="145">
        <v>46208</v>
      </c>
      <c r="P21" s="145">
        <v>46208</v>
      </c>
      <c r="Q21" s="146" t="s">
        <v>319</v>
      </c>
      <c r="R21" s="153" t="str">
        <f t="shared" si="3"/>
        <v>julio</v>
      </c>
      <c r="S21" s="145">
        <f t="shared" si="13"/>
        <v>46219</v>
      </c>
      <c r="T21" s="14">
        <f t="shared" si="14"/>
        <v>34</v>
      </c>
    </row>
    <row r="22" spans="1:20" x14ac:dyDescent="0.25">
      <c r="A22" s="145">
        <v>46185</v>
      </c>
      <c r="B22" s="146" t="s">
        <v>316</v>
      </c>
      <c r="C22" s="147">
        <v>105</v>
      </c>
      <c r="D22" s="148" t="s">
        <v>317</v>
      </c>
      <c r="E22" s="146" t="s">
        <v>272</v>
      </c>
      <c r="F22" s="148" t="s">
        <v>318</v>
      </c>
      <c r="G22" s="157">
        <v>66.37</v>
      </c>
      <c r="H22" s="157">
        <v>0</v>
      </c>
      <c r="I22" s="157">
        <v>0</v>
      </c>
      <c r="J22" s="158">
        <f t="shared" si="0"/>
        <v>66.37</v>
      </c>
      <c r="K22" s="159">
        <f t="shared" si="1"/>
        <v>66.37</v>
      </c>
      <c r="L22" s="161"/>
      <c r="M22" s="152">
        <f t="shared" si="2"/>
        <v>-1</v>
      </c>
      <c r="N22" s="155"/>
      <c r="O22" s="145"/>
      <c r="P22" s="145"/>
      <c r="Q22" s="146"/>
      <c r="R22" s="153" t="str">
        <f t="shared" si="3"/>
        <v>julio</v>
      </c>
      <c r="S22" s="145">
        <f>+A22+30</f>
        <v>46215</v>
      </c>
      <c r="T22" s="14">
        <f>+O22-A22</f>
        <v>-46185</v>
      </c>
    </row>
    <row r="23" spans="1:20" x14ac:dyDescent="0.25">
      <c r="A23" s="145">
        <v>46204</v>
      </c>
      <c r="B23" s="146" t="s">
        <v>316</v>
      </c>
      <c r="C23" s="147">
        <v>106</v>
      </c>
      <c r="D23" s="156" t="s">
        <v>320</v>
      </c>
      <c r="E23" s="146" t="s">
        <v>773</v>
      </c>
      <c r="F23" s="160">
        <v>210737040017</v>
      </c>
      <c r="G23" s="162">
        <v>26901.08</v>
      </c>
      <c r="H23" s="162">
        <v>0</v>
      </c>
      <c r="I23" s="162">
        <v>0</v>
      </c>
      <c r="J23" s="161">
        <f t="shared" si="0"/>
        <v>26901.08</v>
      </c>
      <c r="K23" s="162">
        <f t="shared" si="1"/>
        <v>26901.08</v>
      </c>
      <c r="L23" s="161"/>
      <c r="M23" s="152">
        <f t="shared" si="2"/>
        <v>-1</v>
      </c>
      <c r="N23" s="146"/>
      <c r="O23" s="145"/>
      <c r="P23" s="145"/>
      <c r="Q23" s="146"/>
      <c r="R23" s="153" t="str">
        <f t="shared" si="3"/>
        <v>agosto</v>
      </c>
      <c r="S23" s="145">
        <f t="shared" ref="S23:S25" si="15">+A23+45</f>
        <v>46249</v>
      </c>
      <c r="T23" s="14">
        <f t="shared" ref="T23:T25" si="16">+O23-A23</f>
        <v>-46204</v>
      </c>
    </row>
    <row r="24" spans="1:20" x14ac:dyDescent="0.25">
      <c r="A24" s="145">
        <v>46204</v>
      </c>
      <c r="B24" s="146" t="s">
        <v>316</v>
      </c>
      <c r="C24" s="147">
        <v>107</v>
      </c>
      <c r="D24" s="156" t="s">
        <v>320</v>
      </c>
      <c r="E24" s="146" t="s">
        <v>774</v>
      </c>
      <c r="F24" s="160">
        <v>210737040017</v>
      </c>
      <c r="G24" s="162">
        <v>2400</v>
      </c>
      <c r="H24" s="162">
        <v>0</v>
      </c>
      <c r="I24" s="162">
        <v>0</v>
      </c>
      <c r="J24" s="161">
        <f t="shared" si="0"/>
        <v>2400</v>
      </c>
      <c r="K24" s="162">
        <f t="shared" si="1"/>
        <v>2400</v>
      </c>
      <c r="L24" s="161"/>
      <c r="M24" s="152">
        <f t="shared" si="2"/>
        <v>-1</v>
      </c>
      <c r="N24" s="146"/>
      <c r="O24" s="145"/>
      <c r="P24" s="145"/>
      <c r="Q24" s="14"/>
      <c r="R24" s="153" t="str">
        <f t="shared" si="3"/>
        <v>agosto</v>
      </c>
      <c r="S24" s="145">
        <f t="shared" si="15"/>
        <v>46249</v>
      </c>
      <c r="T24" s="14">
        <f t="shared" si="16"/>
        <v>-46204</v>
      </c>
    </row>
    <row r="25" spans="1:20" x14ac:dyDescent="0.25">
      <c r="A25" s="145">
        <v>46204</v>
      </c>
      <c r="B25" s="146" t="s">
        <v>316</v>
      </c>
      <c r="C25" s="147">
        <v>108</v>
      </c>
      <c r="D25" s="156" t="s">
        <v>320</v>
      </c>
      <c r="E25" s="146" t="s">
        <v>775</v>
      </c>
      <c r="F25" s="160">
        <v>210737040017</v>
      </c>
      <c r="G25" s="162">
        <v>2706</v>
      </c>
      <c r="H25" s="162">
        <v>0</v>
      </c>
      <c r="I25" s="162">
        <v>0</v>
      </c>
      <c r="J25" s="161">
        <f t="shared" si="0"/>
        <v>2706</v>
      </c>
      <c r="K25" s="162">
        <f t="shared" si="1"/>
        <v>2706</v>
      </c>
      <c r="L25" s="161"/>
      <c r="M25" s="152">
        <f t="shared" si="2"/>
        <v>-1</v>
      </c>
      <c r="N25" s="146"/>
      <c r="O25" s="145"/>
      <c r="P25" s="145"/>
      <c r="Q25" s="146"/>
      <c r="R25" s="153" t="str">
        <f t="shared" si="3"/>
        <v>agosto</v>
      </c>
      <c r="S25" s="145">
        <f t="shared" si="15"/>
        <v>46249</v>
      </c>
      <c r="T25" s="14">
        <f t="shared" si="16"/>
        <v>-46204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DC74-272C-4674-B1A2-6DD9522EB981}">
  <dimension ref="A1:U16"/>
  <sheetViews>
    <sheetView workbookViewId="0">
      <selection sqref="A1:U16"/>
    </sheetView>
  </sheetViews>
  <sheetFormatPr baseColWidth="10" defaultRowHeight="15" x14ac:dyDescent="0.25"/>
  <cols>
    <col min="1" max="1" width="11.7109375" bestFit="1" customWidth="1"/>
    <col min="2" max="2" width="11.85546875" bestFit="1" customWidth="1"/>
    <col min="3" max="3" width="13.5703125" bestFit="1" customWidth="1"/>
    <col min="4" max="4" width="45.85546875" bestFit="1" customWidth="1"/>
    <col min="5" max="5" width="32.5703125" bestFit="1" customWidth="1"/>
    <col min="6" max="6" width="13.140625" bestFit="1" customWidth="1"/>
    <col min="7" max="7" width="15.42578125" bestFit="1" customWidth="1"/>
    <col min="8" max="8" width="11.28515625" bestFit="1" customWidth="1"/>
    <col min="9" max="12" width="15.42578125" bestFit="1" customWidth="1"/>
    <col min="13" max="13" width="6.28515625" bestFit="1" customWidth="1"/>
    <col min="14" max="14" width="12" bestFit="1" customWidth="1"/>
    <col min="15" max="15" width="9.28515625" bestFit="1" customWidth="1"/>
    <col min="16" max="16" width="10.7109375" bestFit="1" customWidth="1"/>
    <col min="17" max="17" width="8.140625" bestFit="1" customWidth="1"/>
    <col min="18" max="18" width="9.28515625" bestFit="1" customWidth="1"/>
    <col min="19" max="19" width="9.42578125" bestFit="1" customWidth="1"/>
    <col min="20" max="20" width="10.28515625" bestFit="1" customWidth="1"/>
    <col min="21" max="21" width="7.28515625" bestFit="1" customWidth="1"/>
  </cols>
  <sheetData>
    <row r="1" spans="1:21" ht="38.25" x14ac:dyDescent="0.25">
      <c r="A1" s="180" t="s">
        <v>9</v>
      </c>
      <c r="B1" s="173" t="s">
        <v>10</v>
      </c>
      <c r="C1" s="174" t="s">
        <v>11</v>
      </c>
      <c r="D1" s="172" t="s">
        <v>12</v>
      </c>
      <c r="E1" s="172" t="s">
        <v>13</v>
      </c>
      <c r="F1" s="172" t="s">
        <v>14</v>
      </c>
      <c r="G1" s="175" t="s">
        <v>15</v>
      </c>
      <c r="H1" s="176" t="s">
        <v>16</v>
      </c>
      <c r="I1" s="172" t="s">
        <v>17</v>
      </c>
      <c r="J1" s="182" t="s">
        <v>18</v>
      </c>
      <c r="K1" s="172" t="s">
        <v>19</v>
      </c>
      <c r="L1" s="176" t="s">
        <v>20</v>
      </c>
      <c r="M1" s="172" t="s">
        <v>21</v>
      </c>
      <c r="N1" s="178" t="s">
        <v>22</v>
      </c>
      <c r="O1" s="177" t="s">
        <v>23</v>
      </c>
      <c r="P1" s="178" t="s">
        <v>24</v>
      </c>
      <c r="Q1" s="178" t="s">
        <v>25</v>
      </c>
      <c r="R1" s="179" t="s">
        <v>26</v>
      </c>
      <c r="S1" s="181" t="s">
        <v>27</v>
      </c>
      <c r="T1" s="177" t="s">
        <v>28</v>
      </c>
      <c r="U1" s="183" t="s">
        <v>29</v>
      </c>
    </row>
    <row r="2" spans="1:21" x14ac:dyDescent="0.25">
      <c r="A2" s="185">
        <v>46052</v>
      </c>
      <c r="B2" s="186" t="s">
        <v>68</v>
      </c>
      <c r="C2" s="187" t="s">
        <v>342</v>
      </c>
      <c r="D2" s="188" t="s">
        <v>343</v>
      </c>
      <c r="E2" s="186" t="s">
        <v>344</v>
      </c>
      <c r="F2" s="188" t="s">
        <v>345</v>
      </c>
      <c r="G2" s="189">
        <v>36414000</v>
      </c>
      <c r="H2" s="189">
        <v>0</v>
      </c>
      <c r="I2" s="189">
        <v>7646940</v>
      </c>
      <c r="J2" s="190">
        <v>728280</v>
      </c>
      <c r="K2" s="189">
        <v>44060940</v>
      </c>
      <c r="L2" s="191">
        <v>43332660</v>
      </c>
      <c r="M2" s="192">
        <v>-1.6528925619834656E-2</v>
      </c>
      <c r="N2" s="186" t="s">
        <v>75</v>
      </c>
      <c r="O2" s="185">
        <v>46077</v>
      </c>
      <c r="P2" s="185">
        <v>46077</v>
      </c>
      <c r="Q2" s="186" t="s">
        <v>346</v>
      </c>
      <c r="R2" s="193" t="s">
        <v>48</v>
      </c>
      <c r="S2" s="185">
        <v>46082</v>
      </c>
      <c r="T2" s="184">
        <v>25</v>
      </c>
      <c r="U2" s="184" t="s">
        <v>46</v>
      </c>
    </row>
    <row r="3" spans="1:21" x14ac:dyDescent="0.25">
      <c r="A3" s="185">
        <v>46081</v>
      </c>
      <c r="B3" s="186" t="s">
        <v>68</v>
      </c>
      <c r="C3" s="187" t="s">
        <v>347</v>
      </c>
      <c r="D3" s="188" t="s">
        <v>343</v>
      </c>
      <c r="E3" s="186" t="s">
        <v>344</v>
      </c>
      <c r="F3" s="188" t="s">
        <v>345</v>
      </c>
      <c r="G3" s="189">
        <v>36414000</v>
      </c>
      <c r="H3" s="189">
        <v>0</v>
      </c>
      <c r="I3" s="189">
        <v>7646940</v>
      </c>
      <c r="J3" s="190">
        <v>1455216.6000000015</v>
      </c>
      <c r="K3" s="189">
        <v>44060940</v>
      </c>
      <c r="L3" s="191">
        <v>42605723.399999999</v>
      </c>
      <c r="M3" s="192">
        <v>-3.3027361649569875E-2</v>
      </c>
      <c r="N3" s="186" t="s">
        <v>75</v>
      </c>
      <c r="O3" s="185">
        <v>46082</v>
      </c>
      <c r="P3" s="185">
        <v>46082</v>
      </c>
      <c r="Q3" s="186" t="s">
        <v>346</v>
      </c>
      <c r="R3" s="193" t="s">
        <v>48</v>
      </c>
      <c r="S3" s="185">
        <v>46111</v>
      </c>
      <c r="T3" s="184">
        <v>1</v>
      </c>
      <c r="U3" s="184" t="s">
        <v>47</v>
      </c>
    </row>
    <row r="4" spans="1:21" x14ac:dyDescent="0.25">
      <c r="A4" s="185">
        <v>46112</v>
      </c>
      <c r="B4" s="186" t="s">
        <v>68</v>
      </c>
      <c r="C4" s="187" t="s">
        <v>348</v>
      </c>
      <c r="D4" s="188" t="s">
        <v>343</v>
      </c>
      <c r="E4" s="186" t="s">
        <v>344</v>
      </c>
      <c r="F4" s="188" t="s">
        <v>345</v>
      </c>
      <c r="G4" s="189">
        <v>35000000</v>
      </c>
      <c r="H4" s="189">
        <v>0</v>
      </c>
      <c r="I4" s="189">
        <v>7350000</v>
      </c>
      <c r="J4" s="190">
        <v>1400000</v>
      </c>
      <c r="K4" s="189">
        <v>42350000</v>
      </c>
      <c r="L4" s="191">
        <v>40950000</v>
      </c>
      <c r="M4" s="192">
        <v>-3.3057851239669422E-2</v>
      </c>
      <c r="N4" s="186" t="s">
        <v>75</v>
      </c>
      <c r="O4" s="185">
        <v>46112</v>
      </c>
      <c r="P4" s="185">
        <v>46112</v>
      </c>
      <c r="Q4" s="186" t="s">
        <v>346</v>
      </c>
      <c r="R4" s="193" t="s">
        <v>49</v>
      </c>
      <c r="S4" s="185">
        <v>46142</v>
      </c>
      <c r="T4" s="184">
        <v>0</v>
      </c>
      <c r="U4" s="184" t="s">
        <v>48</v>
      </c>
    </row>
    <row r="5" spans="1:21" x14ac:dyDescent="0.25">
      <c r="A5" s="185">
        <v>46139</v>
      </c>
      <c r="B5" s="186" t="s">
        <v>68</v>
      </c>
      <c r="C5" s="187" t="s">
        <v>349</v>
      </c>
      <c r="D5" s="188" t="s">
        <v>343</v>
      </c>
      <c r="E5" s="186" t="s">
        <v>350</v>
      </c>
      <c r="F5" s="188" t="s">
        <v>345</v>
      </c>
      <c r="G5" s="189">
        <v>37000000</v>
      </c>
      <c r="H5" s="189">
        <v>0</v>
      </c>
      <c r="I5" s="189">
        <v>7770000</v>
      </c>
      <c r="J5" s="190">
        <v>740000</v>
      </c>
      <c r="K5" s="189">
        <v>44770000</v>
      </c>
      <c r="L5" s="191">
        <v>44030000</v>
      </c>
      <c r="M5" s="192">
        <v>-1.6528925619834656E-2</v>
      </c>
      <c r="N5" s="186" t="s">
        <v>75</v>
      </c>
      <c r="O5" s="185">
        <v>46164</v>
      </c>
      <c r="P5" s="185">
        <v>46164</v>
      </c>
      <c r="Q5" s="186" t="s">
        <v>346</v>
      </c>
      <c r="R5" s="193" t="s">
        <v>53</v>
      </c>
      <c r="S5" s="185">
        <v>46169</v>
      </c>
      <c r="T5" s="184">
        <v>25</v>
      </c>
      <c r="U5" s="184" t="s">
        <v>49</v>
      </c>
    </row>
    <row r="6" spans="1:21" x14ac:dyDescent="0.25">
      <c r="A6" s="185">
        <v>46141</v>
      </c>
      <c r="B6" s="186" t="s">
        <v>68</v>
      </c>
      <c r="C6" s="187" t="s">
        <v>351</v>
      </c>
      <c r="D6" s="188" t="s">
        <v>40</v>
      </c>
      <c r="E6" s="186" t="s">
        <v>234</v>
      </c>
      <c r="F6" s="188" t="s">
        <v>149</v>
      </c>
      <c r="G6" s="189">
        <v>19354115.760000002</v>
      </c>
      <c r="H6" s="189">
        <v>0</v>
      </c>
      <c r="I6" s="189">
        <v>4064364.31</v>
      </c>
      <c r="J6" s="190">
        <v>0</v>
      </c>
      <c r="K6" s="189">
        <v>23418480.07</v>
      </c>
      <c r="L6" s="191">
        <v>23418480.07</v>
      </c>
      <c r="M6" s="192">
        <v>0</v>
      </c>
      <c r="N6" s="186" t="s">
        <v>75</v>
      </c>
      <c r="O6" s="185" t="s">
        <v>755</v>
      </c>
      <c r="P6" s="185" t="s">
        <v>755</v>
      </c>
      <c r="Q6" s="186" t="s">
        <v>346</v>
      </c>
      <c r="R6" s="193" t="s">
        <v>53</v>
      </c>
      <c r="S6" s="185">
        <v>46171</v>
      </c>
      <c r="T6" s="171"/>
      <c r="U6" s="184" t="s">
        <v>49</v>
      </c>
    </row>
    <row r="7" spans="1:21" x14ac:dyDescent="0.25">
      <c r="A7" s="185">
        <v>46146</v>
      </c>
      <c r="B7" s="186" t="s">
        <v>68</v>
      </c>
      <c r="C7" s="187" t="s">
        <v>352</v>
      </c>
      <c r="D7" s="188" t="s">
        <v>343</v>
      </c>
      <c r="E7" s="186" t="s">
        <v>350</v>
      </c>
      <c r="F7" s="188" t="s">
        <v>345</v>
      </c>
      <c r="G7" s="189">
        <v>21000000</v>
      </c>
      <c r="H7" s="189">
        <v>0</v>
      </c>
      <c r="I7" s="189">
        <v>4410000</v>
      </c>
      <c r="J7" s="190">
        <v>838656.60000000149</v>
      </c>
      <c r="K7" s="189">
        <v>25410000</v>
      </c>
      <c r="L7" s="191">
        <v>24571343.399999999</v>
      </c>
      <c r="M7" s="192">
        <v>-3.3004982290436913E-2</v>
      </c>
      <c r="N7" s="186" t="s">
        <v>75</v>
      </c>
      <c r="O7" s="185">
        <v>46146</v>
      </c>
      <c r="P7" s="185">
        <v>46146</v>
      </c>
      <c r="Q7" s="186" t="s">
        <v>346</v>
      </c>
      <c r="R7" s="193" t="s">
        <v>54</v>
      </c>
      <c r="S7" s="185">
        <v>46176</v>
      </c>
      <c r="T7" s="184">
        <v>0</v>
      </c>
      <c r="U7" s="184" t="s">
        <v>53</v>
      </c>
    </row>
    <row r="8" spans="1:21" x14ac:dyDescent="0.25">
      <c r="A8" s="185">
        <v>46153</v>
      </c>
      <c r="B8" s="186" t="s">
        <v>68</v>
      </c>
      <c r="C8" s="187" t="s">
        <v>353</v>
      </c>
      <c r="D8" s="188" t="s">
        <v>78</v>
      </c>
      <c r="E8" s="186" t="s">
        <v>234</v>
      </c>
      <c r="F8" s="188" t="s">
        <v>79</v>
      </c>
      <c r="G8" s="189">
        <v>11072304</v>
      </c>
      <c r="H8" s="189">
        <v>0</v>
      </c>
      <c r="I8" s="189">
        <v>2325183.84</v>
      </c>
      <c r="J8" s="190">
        <v>552271.80000000075</v>
      </c>
      <c r="K8" s="189">
        <v>13397487.84</v>
      </c>
      <c r="L8" s="191">
        <v>12845216.039999999</v>
      </c>
      <c r="M8" s="192">
        <v>-4.1222041519688446E-2</v>
      </c>
      <c r="N8" s="194" t="s">
        <v>75</v>
      </c>
      <c r="O8" s="185">
        <v>46198</v>
      </c>
      <c r="P8" s="185">
        <v>46198</v>
      </c>
      <c r="Q8" s="186" t="s">
        <v>346</v>
      </c>
      <c r="R8" s="193" t="s">
        <v>54</v>
      </c>
      <c r="S8" s="185">
        <v>46183</v>
      </c>
      <c r="T8" s="184">
        <v>45</v>
      </c>
      <c r="U8" s="184" t="s">
        <v>53</v>
      </c>
    </row>
    <row r="9" spans="1:21" x14ac:dyDescent="0.25">
      <c r="A9" s="185">
        <v>46153</v>
      </c>
      <c r="B9" s="186" t="s">
        <v>68</v>
      </c>
      <c r="C9" s="187" t="s">
        <v>354</v>
      </c>
      <c r="D9" s="195" t="s">
        <v>99</v>
      </c>
      <c r="E9" s="186" t="s">
        <v>234</v>
      </c>
      <c r="F9" s="188" t="s">
        <v>100</v>
      </c>
      <c r="G9" s="189">
        <v>11303914.199999999</v>
      </c>
      <c r="H9" s="189">
        <v>0</v>
      </c>
      <c r="I9" s="189">
        <v>2373821.98</v>
      </c>
      <c r="J9" s="190">
        <v>224734.87999999896</v>
      </c>
      <c r="K9" s="189">
        <v>13677736.18</v>
      </c>
      <c r="L9" s="191">
        <v>13453001.300000001</v>
      </c>
      <c r="M9" s="192">
        <v>-1.6430707321918758E-2</v>
      </c>
      <c r="N9" s="185" t="s">
        <v>75</v>
      </c>
      <c r="O9" s="185">
        <v>46178</v>
      </c>
      <c r="P9" s="185">
        <v>46177</v>
      </c>
      <c r="Q9" s="193" t="s">
        <v>346</v>
      </c>
      <c r="R9" s="193" t="s">
        <v>54</v>
      </c>
      <c r="S9" s="185">
        <v>46183</v>
      </c>
      <c r="T9" s="184">
        <v>25</v>
      </c>
      <c r="U9" s="184" t="s">
        <v>53</v>
      </c>
    </row>
    <row r="10" spans="1:21" x14ac:dyDescent="0.25">
      <c r="A10" s="185">
        <v>46154</v>
      </c>
      <c r="B10" s="186" t="s">
        <v>68</v>
      </c>
      <c r="C10" s="187" t="s">
        <v>355</v>
      </c>
      <c r="D10" s="195" t="s">
        <v>96</v>
      </c>
      <c r="E10" s="186" t="s">
        <v>234</v>
      </c>
      <c r="F10" s="188" t="s">
        <v>97</v>
      </c>
      <c r="G10" s="189">
        <v>45229413.579999998</v>
      </c>
      <c r="H10" s="189">
        <v>0</v>
      </c>
      <c r="I10" s="189">
        <v>9498176.8499999996</v>
      </c>
      <c r="J10" s="190">
        <v>0</v>
      </c>
      <c r="K10" s="189">
        <v>54727590.43</v>
      </c>
      <c r="L10" s="191">
        <v>54727590.43</v>
      </c>
      <c r="M10" s="192">
        <v>0</v>
      </c>
      <c r="N10" s="186" t="s">
        <v>75</v>
      </c>
      <c r="O10" s="185">
        <v>46185</v>
      </c>
      <c r="P10" s="185">
        <v>46185</v>
      </c>
      <c r="Q10" s="186" t="s">
        <v>346</v>
      </c>
      <c r="R10" s="193" t="s">
        <v>54</v>
      </c>
      <c r="S10" s="185">
        <v>46184</v>
      </c>
      <c r="T10" s="184">
        <v>31</v>
      </c>
      <c r="U10" s="184" t="s">
        <v>53</v>
      </c>
    </row>
    <row r="11" spans="1:21" x14ac:dyDescent="0.25">
      <c r="A11" s="185">
        <v>46171</v>
      </c>
      <c r="B11" s="186" t="s">
        <v>68</v>
      </c>
      <c r="C11" s="187" t="s">
        <v>685</v>
      </c>
      <c r="D11" s="195" t="s">
        <v>343</v>
      </c>
      <c r="E11" s="186" t="s">
        <v>350</v>
      </c>
      <c r="F11" s="188" t="s">
        <v>345</v>
      </c>
      <c r="G11" s="189">
        <v>65000000</v>
      </c>
      <c r="H11" s="189">
        <v>0</v>
      </c>
      <c r="I11" s="189">
        <v>13650000</v>
      </c>
      <c r="J11" s="190">
        <v>2598656.599999994</v>
      </c>
      <c r="K11" s="189">
        <v>78650000</v>
      </c>
      <c r="L11" s="191">
        <v>76051343.400000006</v>
      </c>
      <c r="M11" s="192">
        <v>-3.3040770502224981E-2</v>
      </c>
      <c r="N11" s="186" t="s">
        <v>75</v>
      </c>
      <c r="O11" s="185">
        <v>46174</v>
      </c>
      <c r="P11" s="185">
        <v>46174</v>
      </c>
      <c r="Q11" s="186" t="s">
        <v>346</v>
      </c>
      <c r="R11" s="193" t="s">
        <v>54</v>
      </c>
      <c r="S11" s="185">
        <v>46201</v>
      </c>
      <c r="T11" s="184">
        <v>3</v>
      </c>
      <c r="U11" s="184" t="s">
        <v>53</v>
      </c>
    </row>
    <row r="12" spans="1:21" x14ac:dyDescent="0.25">
      <c r="A12" s="185">
        <v>46174</v>
      </c>
      <c r="B12" s="186" t="s">
        <v>68</v>
      </c>
      <c r="C12" s="187" t="s">
        <v>688</v>
      </c>
      <c r="D12" s="188" t="s">
        <v>40</v>
      </c>
      <c r="E12" s="186" t="s">
        <v>272</v>
      </c>
      <c r="F12" s="188" t="s">
        <v>149</v>
      </c>
      <c r="G12" s="189">
        <v>19659161.16</v>
      </c>
      <c r="H12" s="189">
        <v>0</v>
      </c>
      <c r="I12" s="189">
        <v>4128423.84</v>
      </c>
      <c r="J12" s="190">
        <v>-4876500.2400000021</v>
      </c>
      <c r="K12" s="189">
        <v>23787585</v>
      </c>
      <c r="L12" s="191">
        <v>28664085.240000002</v>
      </c>
      <c r="M12" s="192">
        <v>0.20500190498531068</v>
      </c>
      <c r="N12" s="186" t="s">
        <v>75</v>
      </c>
      <c r="O12" s="185" t="s">
        <v>763</v>
      </c>
      <c r="P12" s="185" t="s">
        <v>763</v>
      </c>
      <c r="Q12" s="186" t="s">
        <v>346</v>
      </c>
      <c r="R12" s="193" t="s">
        <v>55</v>
      </c>
      <c r="S12" s="185">
        <v>46204</v>
      </c>
      <c r="T12" s="184" t="e">
        <v>#VALUE!</v>
      </c>
      <c r="U12" s="184" t="s">
        <v>54</v>
      </c>
    </row>
    <row r="13" spans="1:21" x14ac:dyDescent="0.25">
      <c r="A13" s="185">
        <v>46178</v>
      </c>
      <c r="B13" s="186" t="s">
        <v>68</v>
      </c>
      <c r="C13" s="187" t="s">
        <v>708</v>
      </c>
      <c r="D13" s="188" t="s">
        <v>78</v>
      </c>
      <c r="E13" s="186" t="s">
        <v>272</v>
      </c>
      <c r="F13" s="188" t="s">
        <v>79</v>
      </c>
      <c r="G13" s="189">
        <v>10933294.32</v>
      </c>
      <c r="H13" s="189">
        <v>0</v>
      </c>
      <c r="I13" s="189">
        <v>2295991.81</v>
      </c>
      <c r="J13" s="190">
        <v>545321.31000000052</v>
      </c>
      <c r="K13" s="189">
        <v>13229286.130000001</v>
      </c>
      <c r="L13" s="191">
        <v>12683964.82</v>
      </c>
      <c r="M13" s="192">
        <v>-4.1220766157848643E-2</v>
      </c>
      <c r="N13" s="194" t="s">
        <v>75</v>
      </c>
      <c r="O13" s="185">
        <v>46210</v>
      </c>
      <c r="P13" s="185">
        <v>46210</v>
      </c>
      <c r="Q13" s="186" t="s">
        <v>346</v>
      </c>
      <c r="R13" s="193" t="s">
        <v>55</v>
      </c>
      <c r="S13" s="185">
        <v>46208</v>
      </c>
      <c r="T13" s="184">
        <v>32</v>
      </c>
      <c r="U13" s="184" t="s">
        <v>54</v>
      </c>
    </row>
    <row r="14" spans="1:21" x14ac:dyDescent="0.25">
      <c r="A14" s="185">
        <v>46178</v>
      </c>
      <c r="B14" s="186" t="s">
        <v>68</v>
      </c>
      <c r="C14" s="187" t="s">
        <v>710</v>
      </c>
      <c r="D14" s="195" t="s">
        <v>96</v>
      </c>
      <c r="E14" s="186" t="s">
        <v>272</v>
      </c>
      <c r="F14" s="188" t="s">
        <v>97</v>
      </c>
      <c r="G14" s="189">
        <v>43640341.289999999</v>
      </c>
      <c r="H14" s="189">
        <v>0</v>
      </c>
      <c r="I14" s="189">
        <v>9164471.6699999999</v>
      </c>
      <c r="J14" s="190">
        <v>0</v>
      </c>
      <c r="K14" s="189">
        <v>52804812.960000001</v>
      </c>
      <c r="L14" s="191">
        <v>52804812.960000001</v>
      </c>
      <c r="M14" s="192">
        <v>0</v>
      </c>
      <c r="N14" s="186" t="s">
        <v>75</v>
      </c>
      <c r="O14" s="185">
        <v>46211</v>
      </c>
      <c r="P14" s="185">
        <v>46210</v>
      </c>
      <c r="Q14" s="186" t="s">
        <v>346</v>
      </c>
      <c r="R14" s="193" t="s">
        <v>55</v>
      </c>
      <c r="S14" s="185">
        <v>46208</v>
      </c>
      <c r="T14" s="184">
        <v>33</v>
      </c>
      <c r="U14" s="184" t="s">
        <v>54</v>
      </c>
    </row>
    <row r="15" spans="1:21" x14ac:dyDescent="0.25">
      <c r="A15" s="185">
        <v>46181</v>
      </c>
      <c r="B15" s="186" t="s">
        <v>68</v>
      </c>
      <c r="C15" s="187" t="s">
        <v>711</v>
      </c>
      <c r="D15" s="195" t="s">
        <v>99</v>
      </c>
      <c r="E15" s="186" t="s">
        <v>272</v>
      </c>
      <c r="F15" s="188" t="s">
        <v>100</v>
      </c>
      <c r="G15" s="189">
        <v>10424112.439999999</v>
      </c>
      <c r="H15" s="189">
        <v>0</v>
      </c>
      <c r="I15" s="189">
        <v>2189063.61</v>
      </c>
      <c r="J15" s="190">
        <v>207138.84999999963</v>
      </c>
      <c r="K15" s="189">
        <v>12613176.049999999</v>
      </c>
      <c r="L15" s="191">
        <v>12406037.199999999</v>
      </c>
      <c r="M15" s="192">
        <v>-1.6422418047514653E-2</v>
      </c>
      <c r="N15" s="185" t="s">
        <v>75</v>
      </c>
      <c r="O15" s="185">
        <v>46205</v>
      </c>
      <c r="P15" s="185">
        <v>46205</v>
      </c>
      <c r="Q15" s="193" t="s">
        <v>346</v>
      </c>
      <c r="R15" s="193" t="s">
        <v>55</v>
      </c>
      <c r="S15" s="185">
        <v>46211</v>
      </c>
      <c r="T15" s="184">
        <v>24</v>
      </c>
      <c r="U15" s="184" t="s">
        <v>54</v>
      </c>
    </row>
    <row r="16" spans="1:21" x14ac:dyDescent="0.25">
      <c r="A16" s="185">
        <v>46206</v>
      </c>
      <c r="B16" s="186" t="s">
        <v>68</v>
      </c>
      <c r="C16" s="187" t="s">
        <v>776</v>
      </c>
      <c r="D16" s="188" t="s">
        <v>78</v>
      </c>
      <c r="E16" s="186" t="s">
        <v>692</v>
      </c>
      <c r="F16" s="188" t="s">
        <v>79</v>
      </c>
      <c r="G16" s="189">
        <v>10867180.560000001</v>
      </c>
      <c r="H16" s="189">
        <v>0</v>
      </c>
      <c r="I16" s="189">
        <v>2282107.92</v>
      </c>
      <c r="J16" s="190">
        <v>13149288.48</v>
      </c>
      <c r="K16" s="189">
        <v>13149288.48</v>
      </c>
      <c r="L16" s="191"/>
      <c r="M16" s="192">
        <v>-1</v>
      </c>
      <c r="N16" s="194"/>
      <c r="O16" s="185"/>
      <c r="P16" s="185"/>
      <c r="Q16" s="186"/>
      <c r="R16" s="193" t="s">
        <v>782</v>
      </c>
      <c r="S16" s="185">
        <v>46236</v>
      </c>
      <c r="T16" s="184">
        <v>-46206</v>
      </c>
      <c r="U16" s="18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FFFE-41D1-44CD-8290-73DA0AC8D989}">
  <dimension ref="B2:I51"/>
  <sheetViews>
    <sheetView showGridLines="0" topLeftCell="A7" zoomScale="90" zoomScaleNormal="90" workbookViewId="0">
      <selection activeCell="C8" sqref="C8"/>
    </sheetView>
  </sheetViews>
  <sheetFormatPr baseColWidth="10" defaultColWidth="11.5703125" defaultRowHeight="15" x14ac:dyDescent="0.25"/>
  <cols>
    <col min="1" max="1" width="1.5703125" style="14" customWidth="1"/>
    <col min="2" max="2" width="64.28515625" style="14" bestFit="1" customWidth="1"/>
    <col min="3" max="3" width="25.140625" style="14" bestFit="1" customWidth="1"/>
    <col min="4" max="8" width="17.42578125" style="14" bestFit="1" customWidth="1"/>
    <col min="9" max="9" width="19.140625" style="14" bestFit="1" customWidth="1"/>
    <col min="10" max="10" width="11" style="14" bestFit="1" customWidth="1"/>
    <col min="11" max="24" width="12" style="14" bestFit="1" customWidth="1"/>
    <col min="25" max="25" width="11" style="14" bestFit="1" customWidth="1"/>
    <col min="26" max="29" width="12" style="14" bestFit="1" customWidth="1"/>
    <col min="30" max="30" width="9" style="14" bestFit="1" customWidth="1"/>
    <col min="31" max="33" width="12" style="14" bestFit="1" customWidth="1"/>
    <col min="34" max="34" width="11" style="14" bestFit="1" customWidth="1"/>
    <col min="35" max="37" width="12" style="14" bestFit="1" customWidth="1"/>
    <col min="38" max="38" width="11" style="14" bestFit="1" customWidth="1"/>
    <col min="39" max="40" width="12" style="14" bestFit="1" customWidth="1"/>
    <col min="41" max="41" width="11" style="14" bestFit="1" customWidth="1"/>
    <col min="42" max="42" width="10" style="14" bestFit="1" customWidth="1"/>
    <col min="43" max="46" width="12" style="14" bestFit="1" customWidth="1"/>
    <col min="47" max="48" width="11" style="14" bestFit="1" customWidth="1"/>
    <col min="49" max="49" width="10.7109375" style="14" bestFit="1" customWidth="1"/>
    <col min="50" max="50" width="12.28515625" style="14" bestFit="1" customWidth="1"/>
    <col min="51" max="16384" width="11.5703125" style="14"/>
  </cols>
  <sheetData>
    <row r="2" spans="2:9" x14ac:dyDescent="0.25">
      <c r="B2" s="17" t="s">
        <v>41</v>
      </c>
    </row>
    <row r="3" spans="2:9" ht="6" customHeight="1" x14ac:dyDescent="0.25"/>
    <row r="4" spans="2:9" x14ac:dyDescent="0.25">
      <c r="B4" s="14" t="s">
        <v>20</v>
      </c>
      <c r="C4" s="14" t="s">
        <v>42</v>
      </c>
    </row>
    <row r="6" spans="2:9" x14ac:dyDescent="0.25">
      <c r="B6" s="18" t="s">
        <v>43</v>
      </c>
      <c r="C6" s="18" t="s">
        <v>44</v>
      </c>
      <c r="D6" s="18"/>
      <c r="E6" s="18"/>
      <c r="F6" s="18"/>
      <c r="G6" s="18"/>
      <c r="H6" s="18"/>
      <c r="I6" s="18"/>
    </row>
    <row r="7" spans="2:9" x14ac:dyDescent="0.25">
      <c r="B7" s="19" t="s">
        <v>45</v>
      </c>
      <c r="C7" s="19" t="s">
        <v>46</v>
      </c>
      <c r="D7" s="19" t="s">
        <v>47</v>
      </c>
      <c r="E7" s="19" t="s">
        <v>48</v>
      </c>
      <c r="F7" s="19" t="s">
        <v>49</v>
      </c>
      <c r="G7" s="19" t="s">
        <v>53</v>
      </c>
      <c r="H7" s="19" t="s">
        <v>54</v>
      </c>
      <c r="I7" s="19" t="s">
        <v>50</v>
      </c>
    </row>
    <row r="8" spans="2:9" x14ac:dyDescent="0.25">
      <c r="B8" s="14" t="s">
        <v>39</v>
      </c>
      <c r="C8" s="20"/>
      <c r="D8" s="20"/>
      <c r="E8" s="20"/>
      <c r="F8" s="20"/>
      <c r="G8" s="20"/>
      <c r="H8" s="20"/>
      <c r="I8" s="21">
        <f>SUM(C8:H8)</f>
        <v>0</v>
      </c>
    </row>
    <row r="9" spans="2:9" x14ac:dyDescent="0.25">
      <c r="B9" s="14" t="s">
        <v>38</v>
      </c>
      <c r="C9" s="20"/>
      <c r="D9" s="20"/>
      <c r="E9" s="20"/>
      <c r="F9" s="20"/>
      <c r="G9" s="20"/>
      <c r="H9" s="20"/>
      <c r="I9" s="21">
        <f t="shared" ref="I9:I18" si="0">SUM(C9:H9)</f>
        <v>0</v>
      </c>
    </row>
    <row r="10" spans="2:9" x14ac:dyDescent="0.25">
      <c r="B10" s="14" t="s">
        <v>36</v>
      </c>
      <c r="C10" s="20"/>
      <c r="D10" s="20"/>
      <c r="E10" s="20"/>
      <c r="F10" s="20"/>
      <c r="G10" s="20"/>
      <c r="H10" s="20"/>
      <c r="I10" s="21">
        <f t="shared" si="0"/>
        <v>0</v>
      </c>
    </row>
    <row r="11" spans="2:9" x14ac:dyDescent="0.25">
      <c r="B11" s="14" t="s">
        <v>31</v>
      </c>
      <c r="C11" s="20"/>
      <c r="D11" s="20"/>
      <c r="E11" s="20"/>
      <c r="F11" s="20"/>
      <c r="G11" s="20"/>
      <c r="H11" s="20"/>
      <c r="I11" s="21">
        <f t="shared" si="0"/>
        <v>0</v>
      </c>
    </row>
    <row r="12" spans="2:9" x14ac:dyDescent="0.25">
      <c r="B12" s="14" t="s">
        <v>37</v>
      </c>
      <c r="C12" s="20"/>
      <c r="D12" s="20"/>
      <c r="E12" s="20"/>
      <c r="F12" s="20"/>
      <c r="G12" s="20"/>
      <c r="H12" s="20"/>
      <c r="I12" s="21">
        <f t="shared" si="0"/>
        <v>0</v>
      </c>
    </row>
    <row r="13" spans="2:9" x14ac:dyDescent="0.25">
      <c r="B13" s="14" t="s">
        <v>33</v>
      </c>
      <c r="C13" s="20"/>
      <c r="D13" s="20"/>
      <c r="E13" s="20"/>
      <c r="F13" s="20"/>
      <c r="G13" s="20"/>
      <c r="H13" s="20"/>
      <c r="I13" s="21">
        <f t="shared" si="0"/>
        <v>0</v>
      </c>
    </row>
    <row r="14" spans="2:9" x14ac:dyDescent="0.25">
      <c r="B14" s="14" t="s">
        <v>32</v>
      </c>
      <c r="C14" s="20"/>
      <c r="D14" s="20"/>
      <c r="E14" s="20"/>
      <c r="F14" s="20"/>
      <c r="G14" s="20"/>
      <c r="H14" s="20"/>
      <c r="I14" s="21">
        <f t="shared" si="0"/>
        <v>0</v>
      </c>
    </row>
    <row r="15" spans="2:9" x14ac:dyDescent="0.25">
      <c r="B15" s="14" t="s">
        <v>34</v>
      </c>
      <c r="C15" s="20"/>
      <c r="D15" s="20"/>
      <c r="E15" s="20"/>
      <c r="F15" s="20"/>
      <c r="G15" s="20"/>
      <c r="H15" s="20"/>
      <c r="I15" s="21">
        <f t="shared" si="0"/>
        <v>0</v>
      </c>
    </row>
    <row r="16" spans="2:9" x14ac:dyDescent="0.25">
      <c r="B16" s="14" t="s">
        <v>40</v>
      </c>
      <c r="C16" s="20"/>
      <c r="D16" s="20"/>
      <c r="E16" s="20"/>
      <c r="F16" s="20"/>
      <c r="G16" s="20"/>
      <c r="H16" s="20"/>
      <c r="I16" s="21">
        <f t="shared" si="0"/>
        <v>0</v>
      </c>
    </row>
    <row r="17" spans="2:9" x14ac:dyDescent="0.25">
      <c r="B17" s="14" t="s">
        <v>30</v>
      </c>
      <c r="C17" s="20"/>
      <c r="D17" s="20"/>
      <c r="E17" s="20"/>
      <c r="F17" s="20"/>
      <c r="G17" s="20"/>
      <c r="H17" s="20"/>
      <c r="I17" s="21">
        <f t="shared" si="0"/>
        <v>0</v>
      </c>
    </row>
    <row r="18" spans="2:9" ht="15.75" thickBot="1" x14ac:dyDescent="0.3">
      <c r="B18" s="14" t="s">
        <v>35</v>
      </c>
      <c r="C18" s="20"/>
      <c r="D18" s="20"/>
      <c r="E18" s="20"/>
      <c r="F18" s="20"/>
      <c r="G18" s="20"/>
      <c r="H18" s="20"/>
      <c r="I18" s="21">
        <f t="shared" si="0"/>
        <v>0</v>
      </c>
    </row>
    <row r="19" spans="2:9" ht="15.75" thickTop="1" x14ac:dyDescent="0.25">
      <c r="B19" s="23" t="s">
        <v>50</v>
      </c>
      <c r="C19" s="24">
        <f>SUM(C8:C18)</f>
        <v>0</v>
      </c>
      <c r="D19" s="24">
        <f t="shared" ref="D19:H19" si="1">SUM(D8:D18)</f>
        <v>0</v>
      </c>
      <c r="E19" s="24">
        <f t="shared" si="1"/>
        <v>0</v>
      </c>
      <c r="F19" s="24">
        <f t="shared" si="1"/>
        <v>0</v>
      </c>
      <c r="G19" s="24">
        <f t="shared" si="1"/>
        <v>0</v>
      </c>
      <c r="H19" s="24">
        <f t="shared" si="1"/>
        <v>0</v>
      </c>
      <c r="I19" s="24">
        <v>2896658421.1100006</v>
      </c>
    </row>
    <row r="20" spans="2:9" x14ac:dyDescent="0.25">
      <c r="B20"/>
      <c r="C20"/>
      <c r="D20"/>
      <c r="E20"/>
      <c r="F20"/>
      <c r="G20"/>
    </row>
    <row r="21" spans="2:9" x14ac:dyDescent="0.25">
      <c r="B21"/>
      <c r="C21"/>
      <c r="D21"/>
      <c r="E21"/>
      <c r="F21"/>
      <c r="G21"/>
    </row>
    <row r="22" spans="2:9" x14ac:dyDescent="0.25">
      <c r="B22"/>
      <c r="C22"/>
      <c r="D22"/>
      <c r="E22"/>
      <c r="F22"/>
      <c r="G22"/>
      <c r="H22" s="22"/>
    </row>
    <row r="23" spans="2:9" x14ac:dyDescent="0.25">
      <c r="B23"/>
      <c r="C23"/>
      <c r="D23"/>
      <c r="E23"/>
      <c r="F23"/>
      <c r="G23"/>
    </row>
    <row r="24" spans="2:9" x14ac:dyDescent="0.25">
      <c r="B24"/>
      <c r="C24"/>
      <c r="D24"/>
      <c r="E24"/>
      <c r="F24"/>
      <c r="G24"/>
    </row>
    <row r="25" spans="2:9" x14ac:dyDescent="0.25">
      <c r="F25" s="22"/>
    </row>
    <row r="26" spans="2:9" x14ac:dyDescent="0.25">
      <c r="B26" s="17" t="s">
        <v>51</v>
      </c>
    </row>
    <row r="27" spans="2:9" x14ac:dyDescent="0.25">
      <c r="B27" s="25" t="s">
        <v>20</v>
      </c>
      <c r="C27" s="14" t="s">
        <v>42</v>
      </c>
    </row>
    <row r="28" spans="2:9" x14ac:dyDescent="0.25">
      <c r="B28" s="14" t="s">
        <v>23</v>
      </c>
      <c r="C28" s="14" t="s">
        <v>52</v>
      </c>
    </row>
    <row r="30" spans="2:9" x14ac:dyDescent="0.25">
      <c r="B30" s="18" t="s">
        <v>43</v>
      </c>
      <c r="C30" s="18" t="s">
        <v>44</v>
      </c>
      <c r="D30" s="18"/>
      <c r="E30" s="18"/>
      <c r="F30" s="18"/>
      <c r="G30" s="18"/>
      <c r="H30" s="18"/>
      <c r="I30" s="18"/>
    </row>
    <row r="31" spans="2:9" x14ac:dyDescent="0.25">
      <c r="B31" s="19" t="s">
        <v>45</v>
      </c>
      <c r="C31" s="19" t="s">
        <v>47</v>
      </c>
      <c r="D31" s="19" t="s">
        <v>48</v>
      </c>
      <c r="E31" s="19" t="s">
        <v>49</v>
      </c>
      <c r="F31" s="19" t="s">
        <v>53</v>
      </c>
      <c r="G31" s="19" t="s">
        <v>54</v>
      </c>
      <c r="H31" s="19" t="s">
        <v>55</v>
      </c>
      <c r="I31" s="19" t="s">
        <v>50</v>
      </c>
    </row>
    <row r="32" spans="2:9" x14ac:dyDescent="0.25">
      <c r="B32" s="14" t="s">
        <v>39</v>
      </c>
      <c r="C32" s="26"/>
      <c r="D32" s="26"/>
      <c r="E32" s="26"/>
      <c r="F32" s="26"/>
      <c r="G32" s="26"/>
      <c r="H32" s="26"/>
      <c r="I32" s="21">
        <f t="shared" ref="I32:I42" si="2">SUM(C32:H32)</f>
        <v>0</v>
      </c>
    </row>
    <row r="33" spans="2:9" x14ac:dyDescent="0.25">
      <c r="B33" s="14" t="s">
        <v>38</v>
      </c>
      <c r="C33" s="26"/>
      <c r="D33" s="26"/>
      <c r="E33" s="26"/>
      <c r="F33" s="26"/>
      <c r="G33" s="26"/>
      <c r="H33" s="26"/>
      <c r="I33" s="21">
        <f t="shared" si="2"/>
        <v>0</v>
      </c>
    </row>
    <row r="34" spans="2:9" x14ac:dyDescent="0.25">
      <c r="B34" s="14" t="s">
        <v>36</v>
      </c>
      <c r="C34" s="26"/>
      <c r="D34" s="26"/>
      <c r="E34" s="26"/>
      <c r="F34" s="26"/>
      <c r="G34" s="26"/>
      <c r="H34" s="26"/>
      <c r="I34" s="21">
        <f t="shared" si="2"/>
        <v>0</v>
      </c>
    </row>
    <row r="35" spans="2:9" x14ac:dyDescent="0.25">
      <c r="B35" s="14" t="s">
        <v>31</v>
      </c>
      <c r="C35" s="26"/>
      <c r="D35" s="26"/>
      <c r="E35" s="26"/>
      <c r="F35" s="26"/>
      <c r="G35" s="26"/>
      <c r="H35" s="26"/>
      <c r="I35" s="21">
        <f t="shared" si="2"/>
        <v>0</v>
      </c>
    </row>
    <row r="36" spans="2:9" x14ac:dyDescent="0.25">
      <c r="B36" s="14" t="s">
        <v>37</v>
      </c>
      <c r="C36" s="26"/>
      <c r="D36" s="26"/>
      <c r="E36" s="26"/>
      <c r="F36" s="26"/>
      <c r="G36" s="26"/>
      <c r="H36" s="26"/>
      <c r="I36" s="21">
        <f t="shared" si="2"/>
        <v>0</v>
      </c>
    </row>
    <row r="37" spans="2:9" x14ac:dyDescent="0.25">
      <c r="B37" s="14" t="s">
        <v>33</v>
      </c>
      <c r="C37" s="26"/>
      <c r="D37" s="26"/>
      <c r="E37" s="26"/>
      <c r="F37" s="26"/>
      <c r="G37" s="26"/>
      <c r="H37" s="26"/>
      <c r="I37" s="21">
        <f t="shared" si="2"/>
        <v>0</v>
      </c>
    </row>
    <row r="38" spans="2:9" x14ac:dyDescent="0.25">
      <c r="B38" s="14" t="s">
        <v>32</v>
      </c>
      <c r="C38" s="26"/>
      <c r="D38" s="26"/>
      <c r="E38" s="26"/>
      <c r="F38" s="26"/>
      <c r="G38" s="26"/>
      <c r="H38" s="26"/>
      <c r="I38" s="21">
        <f t="shared" si="2"/>
        <v>0</v>
      </c>
    </row>
    <row r="39" spans="2:9" x14ac:dyDescent="0.25">
      <c r="B39" s="14" t="s">
        <v>34</v>
      </c>
      <c r="C39" s="26"/>
      <c r="D39" s="26"/>
      <c r="E39" s="26"/>
      <c r="F39" s="26"/>
      <c r="G39" s="26"/>
      <c r="H39" s="26"/>
      <c r="I39" s="21">
        <f t="shared" si="2"/>
        <v>0</v>
      </c>
    </row>
    <row r="40" spans="2:9" x14ac:dyDescent="0.25">
      <c r="B40" s="14" t="s">
        <v>40</v>
      </c>
      <c r="C40" s="26"/>
      <c r="D40" s="26"/>
      <c r="E40" s="26"/>
      <c r="F40" s="26"/>
      <c r="G40" s="26"/>
      <c r="H40" s="26"/>
      <c r="I40" s="21">
        <f t="shared" si="2"/>
        <v>0</v>
      </c>
    </row>
    <row r="41" spans="2:9" x14ac:dyDescent="0.25">
      <c r="B41" s="14" t="s">
        <v>30</v>
      </c>
      <c r="C41" s="26"/>
      <c r="D41" s="26"/>
      <c r="E41" s="26"/>
      <c r="F41" s="26"/>
      <c r="G41" s="26"/>
      <c r="H41" s="26"/>
      <c r="I41" s="21">
        <f t="shared" si="2"/>
        <v>0</v>
      </c>
    </row>
    <row r="42" spans="2:9" ht="15.75" thickBot="1" x14ac:dyDescent="0.3">
      <c r="B42" s="14" t="s">
        <v>35</v>
      </c>
      <c r="C42" s="26"/>
      <c r="D42" s="26"/>
      <c r="E42" s="26"/>
      <c r="F42" s="26"/>
      <c r="G42" s="26"/>
      <c r="H42" s="26"/>
      <c r="I42" s="21">
        <f t="shared" si="2"/>
        <v>0</v>
      </c>
    </row>
    <row r="43" spans="2:9" ht="15.75" thickTop="1" x14ac:dyDescent="0.25">
      <c r="B43" s="27" t="s">
        <v>50</v>
      </c>
      <c r="C43" s="24">
        <f>SUM(C32:C42)</f>
        <v>0</v>
      </c>
      <c r="D43" s="24">
        <f t="shared" ref="D43" si="3">SUM(D32:D42)</f>
        <v>0</v>
      </c>
      <c r="E43" s="24">
        <f t="shared" ref="E43" si="4">SUM(E32:E42)</f>
        <v>0</v>
      </c>
      <c r="F43" s="24">
        <f t="shared" ref="F43" si="5">SUM(F32:F42)</f>
        <v>0</v>
      </c>
      <c r="G43" s="24">
        <f t="shared" ref="G43" si="6">SUM(G32:G42)</f>
        <v>0</v>
      </c>
      <c r="H43" s="24">
        <f t="shared" ref="H43" si="7">SUM(H32:H42)</f>
        <v>0</v>
      </c>
      <c r="I43" s="27">
        <v>2645423978.8899999</v>
      </c>
    </row>
    <row r="44" spans="2:9" x14ac:dyDescent="0.25">
      <c r="B44"/>
      <c r="C44"/>
      <c r="D44"/>
      <c r="E44"/>
      <c r="F44"/>
      <c r="G44"/>
      <c r="H44"/>
      <c r="I44"/>
    </row>
    <row r="45" spans="2:9" x14ac:dyDescent="0.25">
      <c r="B45"/>
      <c r="C45"/>
      <c r="D45"/>
      <c r="E45"/>
      <c r="F45"/>
      <c r="G45"/>
      <c r="H45"/>
      <c r="I45"/>
    </row>
    <row r="46" spans="2:9" x14ac:dyDescent="0.25">
      <c r="B46"/>
      <c r="C46"/>
      <c r="D46"/>
      <c r="E46"/>
      <c r="F46"/>
      <c r="G46"/>
      <c r="H46"/>
      <c r="I46"/>
    </row>
    <row r="47" spans="2:9" x14ac:dyDescent="0.25">
      <c r="B47"/>
      <c r="C47"/>
      <c r="D47"/>
      <c r="E47"/>
      <c r="F47"/>
      <c r="G47"/>
      <c r="H47"/>
      <c r="I47"/>
    </row>
    <row r="48" spans="2:9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7E47-841F-4B36-A2A7-9FEDF5687F84}">
  <dimension ref="A1:L1048402"/>
  <sheetViews>
    <sheetView showGridLines="0" tabSelected="1" zoomScale="90" zoomScaleNormal="90" workbookViewId="0">
      <pane ySplit="1" topLeftCell="A117" activePane="bottomLeft" state="frozen"/>
      <selection pane="bottomLeft" sqref="A1:K138"/>
    </sheetView>
  </sheetViews>
  <sheetFormatPr baseColWidth="10" defaultColWidth="11.42578125" defaultRowHeight="12" x14ac:dyDescent="0.25"/>
  <cols>
    <col min="1" max="1" width="13.7109375" style="29" bestFit="1" customWidth="1"/>
    <col min="2" max="2" width="18.28515625" style="30" bestFit="1" customWidth="1"/>
    <col min="3" max="3" width="14.5703125" style="29" customWidth="1"/>
    <col min="4" max="4" width="16.7109375" style="29" customWidth="1"/>
    <col min="5" max="5" width="54.28515625" style="35" bestFit="1" customWidth="1"/>
    <col min="6" max="6" width="15.28515625" style="31" bestFit="1" customWidth="1"/>
    <col min="7" max="7" width="14.28515625" style="35" bestFit="1" customWidth="1"/>
    <col min="8" max="8" width="13.42578125" style="29" customWidth="1"/>
    <col min="9" max="10" width="22.140625" style="29" bestFit="1" customWidth="1"/>
    <col min="11" max="11" width="17.28515625" style="29" customWidth="1"/>
    <col min="12" max="16384" width="11.42578125" style="29"/>
  </cols>
  <sheetData>
    <row r="1" spans="1:12" s="28" customFormat="1" ht="29.45" customHeight="1" thickBot="1" x14ac:dyDescent="0.3">
      <c r="A1" s="124" t="s">
        <v>56</v>
      </c>
      <c r="B1" s="126" t="s">
        <v>57</v>
      </c>
      <c r="C1" s="123" t="s">
        <v>58</v>
      </c>
      <c r="D1" s="123" t="s">
        <v>59</v>
      </c>
      <c r="E1" s="123" t="s">
        <v>60</v>
      </c>
      <c r="F1" s="130" t="s">
        <v>61</v>
      </c>
      <c r="G1" s="125" t="s">
        <v>62</v>
      </c>
      <c r="H1" s="123" t="s">
        <v>63</v>
      </c>
      <c r="I1" s="123" t="s">
        <v>64</v>
      </c>
      <c r="J1" s="123" t="s">
        <v>65</v>
      </c>
      <c r="K1" s="123" t="s">
        <v>66</v>
      </c>
      <c r="L1" s="123" t="s">
        <v>783</v>
      </c>
    </row>
    <row r="2" spans="1:12" ht="12.75" thickBot="1" x14ac:dyDescent="0.3">
      <c r="A2" s="32">
        <v>46037</v>
      </c>
      <c r="B2" s="32">
        <v>46042</v>
      </c>
      <c r="C2" s="33" t="str">
        <f t="shared" ref="C2:C65" si="0">UPPER(IF(B2="","",TEXT(B2,"MMMM")))</f>
        <v>ENERO</v>
      </c>
      <c r="D2" s="127" t="s">
        <v>282</v>
      </c>
      <c r="E2" s="131">
        <v>34012352.229999997</v>
      </c>
      <c r="F2" s="132">
        <v>34012352.229999997</v>
      </c>
      <c r="G2" s="34" t="e">
        <f>+[3]!Tabla1[[#This Row],[CRÉDITO]]-[3]!Tabla1[[#This Row],[DÉBITO]]</f>
        <v>#VALUE!</v>
      </c>
      <c r="H2" s="129">
        <v>46043</v>
      </c>
      <c r="I2" s="128"/>
    </row>
    <row r="3" spans="1:12" ht="12.75" thickBot="1" x14ac:dyDescent="0.3">
      <c r="A3" s="32">
        <v>46037</v>
      </c>
      <c r="B3" s="32">
        <v>46042</v>
      </c>
      <c r="C3" s="33" t="str">
        <f t="shared" si="0"/>
        <v>ENERO</v>
      </c>
      <c r="D3" s="127" t="s">
        <v>282</v>
      </c>
      <c r="E3" s="131">
        <v>39388866.840000004</v>
      </c>
      <c r="F3" s="132">
        <v>39388866.840000004</v>
      </c>
      <c r="G3" s="34" t="e">
        <f>+[3]!Tabla1[[#This Row],[CRÉDITO]]-[3]!Tabla1[[#This Row],[DÉBITO]]</f>
        <v>#VALUE!</v>
      </c>
      <c r="H3" s="129">
        <v>46043</v>
      </c>
      <c r="I3" s="128"/>
    </row>
    <row r="4" spans="1:12" ht="12.75" thickBot="1" x14ac:dyDescent="0.3">
      <c r="A4" s="32">
        <v>46037</v>
      </c>
      <c r="B4" s="32">
        <v>46042</v>
      </c>
      <c r="C4" s="33" t="str">
        <f t="shared" si="0"/>
        <v>ENERO</v>
      </c>
      <c r="D4" s="127" t="s">
        <v>282</v>
      </c>
      <c r="E4" s="131">
        <v>41118675</v>
      </c>
      <c r="F4" s="132">
        <v>41118675</v>
      </c>
      <c r="G4" s="34" t="e">
        <f>+[3]!Tabla1[[#This Row],[CRÉDITO]]-[3]!Tabla1[[#This Row],[DÉBITO]]</f>
        <v>#VALUE!</v>
      </c>
      <c r="H4" s="129">
        <v>46043</v>
      </c>
      <c r="I4" s="128"/>
    </row>
    <row r="5" spans="1:12" ht="12.75" thickBot="1" x14ac:dyDescent="0.3">
      <c r="A5" s="32">
        <v>46037</v>
      </c>
      <c r="B5" s="32">
        <v>46042</v>
      </c>
      <c r="C5" s="33" t="str">
        <f t="shared" si="0"/>
        <v>ENERO</v>
      </c>
      <c r="D5" s="127" t="s">
        <v>282</v>
      </c>
      <c r="E5" s="131">
        <v>40540734.960000001</v>
      </c>
      <c r="F5" s="132">
        <v>40540734.960000001</v>
      </c>
      <c r="G5" s="34" t="e">
        <f>+[3]!Tabla1[[#This Row],[CRÉDITO]]-[3]!Tabla1[[#This Row],[DÉBITO]]</f>
        <v>#VALUE!</v>
      </c>
      <c r="H5" s="129">
        <v>46043</v>
      </c>
      <c r="I5" s="128"/>
    </row>
    <row r="6" spans="1:12" ht="12.75" thickBot="1" x14ac:dyDescent="0.3">
      <c r="A6" s="32">
        <v>46038</v>
      </c>
      <c r="B6" s="32">
        <v>46045</v>
      </c>
      <c r="C6" s="33" t="str">
        <f t="shared" si="0"/>
        <v>ENERO</v>
      </c>
      <c r="D6" s="127" t="s">
        <v>283</v>
      </c>
      <c r="E6" s="131">
        <v>227870.25</v>
      </c>
      <c r="F6" s="132">
        <v>227870.25</v>
      </c>
      <c r="G6" s="34" t="e">
        <f>+[3]!Tabla1[[#This Row],[CRÉDITO]]-[3]!Tabla1[[#This Row],[DÉBITO]]</f>
        <v>#VALUE!</v>
      </c>
      <c r="H6" s="129">
        <v>46049</v>
      </c>
      <c r="I6" s="128"/>
    </row>
    <row r="7" spans="1:12" ht="12.75" thickBot="1" x14ac:dyDescent="0.3">
      <c r="A7" s="32">
        <v>46038</v>
      </c>
      <c r="B7" s="32">
        <v>46052</v>
      </c>
      <c r="C7" s="33" t="str">
        <f t="shared" si="0"/>
        <v>ENERO</v>
      </c>
      <c r="D7" s="127" t="s">
        <v>283</v>
      </c>
      <c r="E7" s="131">
        <v>177024.79</v>
      </c>
      <c r="F7" s="132">
        <v>177024.79</v>
      </c>
      <c r="G7" s="34">
        <f>+[3]!Tabla1[[#This Row],[CRÉDITO]]-[3]!Tabla1[[#This Row],[DÉBITO]]</f>
        <v>0</v>
      </c>
      <c r="H7" s="129">
        <v>46059</v>
      </c>
      <c r="I7" s="128"/>
    </row>
    <row r="8" spans="1:12" ht="12.75" thickBot="1" x14ac:dyDescent="0.3">
      <c r="A8" s="32">
        <v>46038</v>
      </c>
      <c r="B8" s="32">
        <v>46045</v>
      </c>
      <c r="C8" s="33" t="str">
        <f t="shared" si="0"/>
        <v>ENERO</v>
      </c>
      <c r="D8" s="127" t="s">
        <v>284</v>
      </c>
      <c r="E8" s="131">
        <v>593947.74</v>
      </c>
      <c r="F8" s="132">
        <v>593947.74</v>
      </c>
      <c r="G8" s="34">
        <f>+[3]!Tabla1[[#This Row],[CRÉDITO]]-[3]!Tabla1[[#This Row],[DÉBITO]]</f>
        <v>0</v>
      </c>
      <c r="H8" s="129">
        <v>46048</v>
      </c>
      <c r="I8" s="128"/>
    </row>
    <row r="9" spans="1:12" ht="12.75" thickBot="1" x14ac:dyDescent="0.3">
      <c r="A9" s="32">
        <v>46038</v>
      </c>
      <c r="B9" s="32">
        <v>46045</v>
      </c>
      <c r="C9" s="33" t="str">
        <f t="shared" si="0"/>
        <v>ENERO</v>
      </c>
      <c r="D9" s="127" t="s">
        <v>285</v>
      </c>
      <c r="E9" s="131">
        <v>615593.4</v>
      </c>
      <c r="F9" s="132">
        <v>615593.4</v>
      </c>
      <c r="G9" s="34">
        <f>+[3]!Tabla1[[#This Row],[CRÉDITO]]-[3]!Tabla1[[#This Row],[DÉBITO]]</f>
        <v>0</v>
      </c>
      <c r="H9" s="129">
        <v>46049</v>
      </c>
      <c r="I9" s="128"/>
    </row>
    <row r="10" spans="1:12" ht="12.75" thickBot="1" x14ac:dyDescent="0.3">
      <c r="A10" s="32">
        <v>46038</v>
      </c>
      <c r="B10" s="32">
        <v>46045</v>
      </c>
      <c r="C10" s="33" t="str">
        <f t="shared" si="0"/>
        <v>ENERO</v>
      </c>
      <c r="D10" s="127" t="s">
        <v>286</v>
      </c>
      <c r="E10" s="131">
        <v>1334309.6200000001</v>
      </c>
      <c r="F10" s="132">
        <v>1334309.6200000001</v>
      </c>
      <c r="G10" s="34">
        <f>+[3]!Tabla1[[#This Row],[CRÉDITO]]-[3]!Tabla1[[#This Row],[DÉBITO]]</f>
        <v>0</v>
      </c>
      <c r="H10" s="129">
        <v>46048</v>
      </c>
      <c r="I10" s="128"/>
    </row>
    <row r="11" spans="1:12" ht="12.75" thickBot="1" x14ac:dyDescent="0.3">
      <c r="A11" s="32">
        <v>46038</v>
      </c>
      <c r="B11" s="32">
        <v>46045</v>
      </c>
      <c r="C11" s="33" t="str">
        <f t="shared" si="0"/>
        <v>ENERO</v>
      </c>
      <c r="D11" s="127" t="s">
        <v>287</v>
      </c>
      <c r="E11" s="131">
        <v>10411654.07</v>
      </c>
      <c r="F11" s="132">
        <v>10411654.07</v>
      </c>
      <c r="G11" s="34">
        <f>+[3]!Tabla1[[#This Row],[CRÉDITO]]-[3]!Tabla1[[#This Row],[DÉBITO]]</f>
        <v>0</v>
      </c>
      <c r="H11" s="129">
        <v>46048</v>
      </c>
      <c r="I11" s="128"/>
    </row>
    <row r="12" spans="1:12" ht="12.75" thickBot="1" x14ac:dyDescent="0.3">
      <c r="A12" s="32">
        <v>46038</v>
      </c>
      <c r="B12" s="32">
        <v>46045</v>
      </c>
      <c r="C12" s="33" t="str">
        <f t="shared" si="0"/>
        <v>ENERO</v>
      </c>
      <c r="D12" s="127" t="s">
        <v>288</v>
      </c>
      <c r="E12" s="131">
        <v>5969747.4000000004</v>
      </c>
      <c r="F12" s="132">
        <v>5969747.4000000004</v>
      </c>
      <c r="G12" s="34">
        <f>+[3]!Tabla1[[#This Row],[CRÉDITO]]-[3]!Tabla1[[#This Row],[DÉBITO]]</f>
        <v>0</v>
      </c>
      <c r="H12" s="129">
        <v>46049</v>
      </c>
      <c r="I12" s="128"/>
    </row>
    <row r="13" spans="1:12" ht="12.75" thickBot="1" x14ac:dyDescent="0.3">
      <c r="A13" s="32">
        <v>46038</v>
      </c>
      <c r="B13" s="32">
        <v>46059</v>
      </c>
      <c r="C13" s="33" t="str">
        <f t="shared" si="0"/>
        <v>FEBRERO</v>
      </c>
      <c r="D13" s="127" t="s">
        <v>289</v>
      </c>
      <c r="E13" s="131">
        <v>918607.03</v>
      </c>
      <c r="F13" s="132">
        <v>918607.03</v>
      </c>
      <c r="G13" s="34">
        <f>+[3]!Tabla1[[#This Row],[CRÉDITO]]-[3]!Tabla1[[#This Row],[DÉBITO]]</f>
        <v>0</v>
      </c>
      <c r="H13" s="129">
        <v>46084</v>
      </c>
      <c r="I13" s="128"/>
    </row>
    <row r="14" spans="1:12" ht="12.75" thickBot="1" x14ac:dyDescent="0.3">
      <c r="A14" s="32">
        <v>46038</v>
      </c>
      <c r="B14" s="32">
        <v>46045</v>
      </c>
      <c r="C14" s="33" t="str">
        <f t="shared" si="0"/>
        <v>ENERO</v>
      </c>
      <c r="D14" s="127" t="s">
        <v>290</v>
      </c>
      <c r="E14" s="131">
        <v>16107454.699999999</v>
      </c>
      <c r="F14" s="132">
        <v>16107454.699999999</v>
      </c>
      <c r="G14" s="34">
        <f>+[3]!Tabla1[[#This Row],[CRÉDITO]]-[3]!Tabla1[[#This Row],[DÉBITO]]</f>
        <v>0</v>
      </c>
      <c r="H14" s="129">
        <v>46048</v>
      </c>
      <c r="I14" s="128"/>
    </row>
    <row r="15" spans="1:12" ht="12.75" thickBot="1" x14ac:dyDescent="0.3">
      <c r="A15" s="32">
        <v>46038</v>
      </c>
      <c r="B15" s="32">
        <v>46045</v>
      </c>
      <c r="C15" s="33" t="str">
        <f t="shared" si="0"/>
        <v>ENERO</v>
      </c>
      <c r="D15" s="127" t="s">
        <v>291</v>
      </c>
      <c r="E15" s="131">
        <v>5617626.3600000003</v>
      </c>
      <c r="F15" s="132">
        <v>5617626.3600000003</v>
      </c>
      <c r="G15" s="34">
        <f>+[3]!Tabla1[[#This Row],[CRÉDITO]]-[3]!Tabla1[[#This Row],[DÉBITO]]</f>
        <v>0</v>
      </c>
      <c r="H15" s="129">
        <v>46048</v>
      </c>
      <c r="I15" s="128"/>
    </row>
    <row r="16" spans="1:12" ht="12.75" thickBot="1" x14ac:dyDescent="0.3">
      <c r="A16" s="32">
        <v>46038</v>
      </c>
      <c r="B16" s="32">
        <v>46045</v>
      </c>
      <c r="C16" s="33" t="str">
        <f t="shared" si="0"/>
        <v>ENERO</v>
      </c>
      <c r="D16" s="127" t="s">
        <v>292</v>
      </c>
      <c r="E16" s="131">
        <v>401800</v>
      </c>
      <c r="F16" s="132">
        <v>401800</v>
      </c>
      <c r="G16" s="34">
        <f>+[3]!Tabla1[[#This Row],[CRÉDITO]]-[3]!Tabla1[[#This Row],[DÉBITO]]</f>
        <v>0</v>
      </c>
      <c r="H16" s="129">
        <v>46049</v>
      </c>
      <c r="I16" s="128"/>
    </row>
    <row r="17" spans="1:9" ht="12.75" thickBot="1" x14ac:dyDescent="0.3">
      <c r="A17" s="32">
        <v>46038</v>
      </c>
      <c r="B17" s="32">
        <v>46052</v>
      </c>
      <c r="C17" s="33" t="str">
        <f t="shared" si="0"/>
        <v>ENERO</v>
      </c>
      <c r="D17" s="127" t="s">
        <v>293</v>
      </c>
      <c r="E17" s="131">
        <v>1133721.52</v>
      </c>
      <c r="F17" s="132">
        <v>1133721.52</v>
      </c>
      <c r="G17" s="34">
        <f>+[3]!Tabla1[[#This Row],[CRÉDITO]]-[3]!Tabla1[[#This Row],[DÉBITO]]</f>
        <v>0</v>
      </c>
      <c r="H17" s="129">
        <v>46055</v>
      </c>
      <c r="I17" s="128"/>
    </row>
    <row r="18" spans="1:9" ht="12.75" thickBot="1" x14ac:dyDescent="0.3">
      <c r="A18" s="32">
        <v>46038</v>
      </c>
      <c r="B18" s="32">
        <v>46066</v>
      </c>
      <c r="C18" s="33" t="str">
        <f t="shared" si="0"/>
        <v>FEBRERO</v>
      </c>
      <c r="D18" s="127" t="s">
        <v>294</v>
      </c>
      <c r="E18" s="131">
        <v>4161275.14</v>
      </c>
      <c r="F18" s="132">
        <v>4161275.14</v>
      </c>
      <c r="G18" s="34">
        <f>+[3]!Tabla1[[#This Row],[CRÉDITO]]-[3]!Tabla1[[#This Row],[DÉBITO]]</f>
        <v>0</v>
      </c>
      <c r="H18" s="129">
        <v>46071</v>
      </c>
      <c r="I18" s="128"/>
    </row>
    <row r="19" spans="1:9" ht="12.75" thickBot="1" x14ac:dyDescent="0.3">
      <c r="A19" s="32">
        <v>46038</v>
      </c>
      <c r="B19" s="32">
        <v>46052</v>
      </c>
      <c r="C19" s="33" t="str">
        <f t="shared" si="0"/>
        <v>ENERO</v>
      </c>
      <c r="D19" s="127" t="s">
        <v>287</v>
      </c>
      <c r="E19" s="131">
        <v>5763110.1799999997</v>
      </c>
      <c r="F19" s="132">
        <v>5763110.1799999997</v>
      </c>
      <c r="G19" s="34">
        <f>+[3]!Tabla1[[#This Row],[CRÉDITO]]-[3]!Tabla1[[#This Row],[DÉBITO]]</f>
        <v>0</v>
      </c>
      <c r="H19" s="129">
        <v>46055</v>
      </c>
      <c r="I19" s="128"/>
    </row>
    <row r="20" spans="1:9" ht="12.75" thickBot="1" x14ac:dyDescent="0.3">
      <c r="A20" s="32">
        <v>46038</v>
      </c>
      <c r="B20" s="32">
        <v>46073</v>
      </c>
      <c r="C20" s="33" t="str">
        <f t="shared" si="0"/>
        <v>FEBRERO</v>
      </c>
      <c r="D20" s="127" t="s">
        <v>291</v>
      </c>
      <c r="E20" s="131">
        <v>6252372.54</v>
      </c>
      <c r="F20" s="132">
        <v>6252372.54</v>
      </c>
      <c r="G20" s="34">
        <f>+[3]!Tabla1[[#This Row],[CRÉDITO]]-[3]!Tabla1[[#This Row],[DÉBITO]]</f>
        <v>0</v>
      </c>
      <c r="H20" s="129">
        <v>46076</v>
      </c>
      <c r="I20" s="128"/>
    </row>
    <row r="21" spans="1:9" ht="12.75" thickBot="1" x14ac:dyDescent="0.3">
      <c r="A21" s="32">
        <v>46038</v>
      </c>
      <c r="B21" s="32">
        <v>46073</v>
      </c>
      <c r="C21" s="33" t="str">
        <f t="shared" si="0"/>
        <v>FEBRERO</v>
      </c>
      <c r="D21" s="127" t="s">
        <v>295</v>
      </c>
      <c r="E21" s="131">
        <v>10179114.1</v>
      </c>
      <c r="F21" s="132">
        <v>10179114.1</v>
      </c>
      <c r="G21" s="34">
        <f>+[3]!Tabla1[[#This Row],[CRÉDITO]]-[3]!Tabla1[[#This Row],[DÉBITO]]</f>
        <v>0</v>
      </c>
      <c r="H21" s="129">
        <v>46076</v>
      </c>
      <c r="I21" s="128"/>
    </row>
    <row r="22" spans="1:9" ht="12.75" thickBot="1" x14ac:dyDescent="0.3">
      <c r="A22" s="32">
        <v>46038</v>
      </c>
      <c r="B22" s="32">
        <v>46087</v>
      </c>
      <c r="C22" s="33" t="str">
        <f t="shared" si="0"/>
        <v>MARZO</v>
      </c>
      <c r="D22" s="127" t="s">
        <v>296</v>
      </c>
      <c r="E22" s="131">
        <v>1476868.16</v>
      </c>
      <c r="F22" s="132">
        <v>1476868.16</v>
      </c>
      <c r="G22" s="34">
        <f>+[3]!Tabla1[[#This Row],[CRÉDITO]]-[3]!Tabla1[[#This Row],[DÉBITO]]</f>
        <v>0</v>
      </c>
      <c r="H22" s="129">
        <v>46090</v>
      </c>
      <c r="I22" s="128"/>
    </row>
    <row r="23" spans="1:9" ht="12.75" thickBot="1" x14ac:dyDescent="0.3">
      <c r="A23" s="32">
        <v>46051</v>
      </c>
      <c r="B23" s="32">
        <v>45697</v>
      </c>
      <c r="C23" s="33" t="str">
        <f t="shared" si="0"/>
        <v>FEBRERO</v>
      </c>
      <c r="D23" s="127" t="s">
        <v>283</v>
      </c>
      <c r="E23" s="131">
        <v>293343.84999999998</v>
      </c>
      <c r="F23" s="132">
        <v>293343.84999999998</v>
      </c>
      <c r="G23" s="34">
        <f>+[3]!Tabla1[[#This Row],[CRÉDITO]]-[3]!Tabla1[[#This Row],[DÉBITO]]</f>
        <v>0</v>
      </c>
      <c r="H23" s="129">
        <v>46064</v>
      </c>
      <c r="I23" s="128"/>
    </row>
    <row r="24" spans="1:9" ht="12.75" thickBot="1" x14ac:dyDescent="0.3">
      <c r="A24" s="32">
        <v>46051</v>
      </c>
      <c r="B24" s="32">
        <v>45701</v>
      </c>
      <c r="C24" s="33" t="str">
        <f t="shared" si="0"/>
        <v>FEBRERO</v>
      </c>
      <c r="D24" s="127" t="s">
        <v>294</v>
      </c>
      <c r="E24" s="131">
        <v>4159931.75</v>
      </c>
      <c r="F24" s="132">
        <v>4159931.75</v>
      </c>
      <c r="G24" s="34">
        <f>+[3]!Tabla1[[#This Row],[CRÉDITO]]-[3]!Tabla1[[#This Row],[DÉBITO]]</f>
        <v>0</v>
      </c>
      <c r="H24" s="129">
        <v>46071</v>
      </c>
      <c r="I24" s="128"/>
    </row>
    <row r="25" spans="1:9" ht="12.75" thickBot="1" x14ac:dyDescent="0.3">
      <c r="A25" s="32">
        <v>46051</v>
      </c>
      <c r="B25" s="32">
        <v>45701</v>
      </c>
      <c r="C25" s="33" t="str">
        <f t="shared" si="0"/>
        <v>FEBRERO</v>
      </c>
      <c r="D25" s="127" t="s">
        <v>283</v>
      </c>
      <c r="E25" s="131">
        <v>158830.6</v>
      </c>
      <c r="F25" s="132">
        <v>158830.6</v>
      </c>
      <c r="G25" s="34">
        <f>+[3]!Tabla1[[#This Row],[CRÉDITO]]-[3]!Tabla1[[#This Row],[DÉBITO]]</f>
        <v>0</v>
      </c>
      <c r="H25" s="129">
        <v>46076</v>
      </c>
      <c r="I25" s="128"/>
    </row>
    <row r="26" spans="1:9" ht="12.75" thickBot="1" x14ac:dyDescent="0.3">
      <c r="A26" s="32">
        <v>46051</v>
      </c>
      <c r="B26" s="32">
        <v>46056</v>
      </c>
      <c r="C26" s="33" t="str">
        <f t="shared" si="0"/>
        <v>FEBRERO</v>
      </c>
      <c r="D26" s="127" t="s">
        <v>284</v>
      </c>
      <c r="E26" s="131">
        <v>685952.72</v>
      </c>
      <c r="F26" s="132">
        <v>685952.72</v>
      </c>
      <c r="G26" s="34">
        <f>+[3]!Tabla1[[#This Row],[CRÉDITO]]-[3]!Tabla1[[#This Row],[DÉBITO]]</f>
        <v>0</v>
      </c>
      <c r="H26" s="129">
        <v>46056</v>
      </c>
      <c r="I26" s="128"/>
    </row>
    <row r="27" spans="1:9" ht="12.75" thickBot="1" x14ac:dyDescent="0.3">
      <c r="A27" s="32">
        <v>46051</v>
      </c>
      <c r="B27" s="32">
        <v>46052</v>
      </c>
      <c r="C27" s="33" t="str">
        <f t="shared" si="0"/>
        <v>ENERO</v>
      </c>
      <c r="D27" s="127" t="s">
        <v>287</v>
      </c>
      <c r="E27" s="131">
        <v>11230010.08</v>
      </c>
      <c r="F27" s="132">
        <v>11230010.08</v>
      </c>
      <c r="G27" s="34">
        <f>+[3]!Tabla1[[#This Row],[CRÉDITO]]-[3]!Tabla1[[#This Row],[DÉBITO]]</f>
        <v>0</v>
      </c>
      <c r="H27" s="129">
        <v>46055</v>
      </c>
      <c r="I27" s="128"/>
    </row>
    <row r="28" spans="1:9" ht="12.75" thickBot="1" x14ac:dyDescent="0.3">
      <c r="A28" s="32">
        <v>46051</v>
      </c>
      <c r="B28" s="32">
        <v>46066</v>
      </c>
      <c r="C28" s="33" t="str">
        <f t="shared" si="0"/>
        <v>FEBRERO</v>
      </c>
      <c r="D28" s="127" t="s">
        <v>297</v>
      </c>
      <c r="E28" s="131">
        <v>1338484.9099999999</v>
      </c>
      <c r="F28" s="132">
        <v>1338484.9099999999</v>
      </c>
      <c r="G28" s="34">
        <f>+[3]!Tabla1[[#This Row],[CRÉDITO]]-[3]!Tabla1[[#This Row],[DÉBITO]]</f>
        <v>0</v>
      </c>
      <c r="H28" s="129">
        <v>46076</v>
      </c>
      <c r="I28" s="128"/>
    </row>
    <row r="29" spans="1:9" ht="12.75" thickBot="1" x14ac:dyDescent="0.3">
      <c r="A29" s="32">
        <v>46066</v>
      </c>
      <c r="B29" s="32">
        <v>46073</v>
      </c>
      <c r="C29" s="33" t="str">
        <f t="shared" si="0"/>
        <v>FEBRERO</v>
      </c>
      <c r="D29" s="127" t="s">
        <v>282</v>
      </c>
      <c r="E29" s="131">
        <v>29125000</v>
      </c>
      <c r="F29" s="132">
        <v>29125000</v>
      </c>
      <c r="G29" s="34">
        <f>+[3]!Tabla1[[#This Row],[CRÉDITO]]-[3]!Tabla1[[#This Row],[DÉBITO]]</f>
        <v>0</v>
      </c>
      <c r="H29" s="129">
        <v>46076</v>
      </c>
      <c r="I29" s="128"/>
    </row>
    <row r="30" spans="1:9" ht="12.75" thickBot="1" x14ac:dyDescent="0.3">
      <c r="A30" s="32">
        <v>46066</v>
      </c>
      <c r="B30" s="32">
        <v>46073</v>
      </c>
      <c r="C30" s="33" t="str">
        <f t="shared" si="0"/>
        <v>FEBRERO</v>
      </c>
      <c r="D30" s="127" t="s">
        <v>282</v>
      </c>
      <c r="E30" s="131">
        <v>37884574.420000002</v>
      </c>
      <c r="F30" s="132">
        <v>37884574.420000002</v>
      </c>
      <c r="G30" s="34">
        <f>+[3]!Tabla1[[#This Row],[CRÉDITO]]-[3]!Tabla1[[#This Row],[DÉBITO]]</f>
        <v>0</v>
      </c>
      <c r="H30" s="129">
        <v>46076</v>
      </c>
      <c r="I30" s="128"/>
    </row>
    <row r="31" spans="1:9" ht="12.75" thickBot="1" x14ac:dyDescent="0.3">
      <c r="A31" s="32">
        <v>46066</v>
      </c>
      <c r="B31" s="32">
        <v>46073</v>
      </c>
      <c r="C31" s="33" t="str">
        <f t="shared" si="0"/>
        <v>FEBRERO</v>
      </c>
      <c r="D31" s="127" t="s">
        <v>282</v>
      </c>
      <c r="E31" s="131">
        <v>23300000</v>
      </c>
      <c r="F31" s="132">
        <v>23300000</v>
      </c>
      <c r="G31" s="34">
        <f>+[3]!Tabla1[[#This Row],[CRÉDITO]]-[3]!Tabla1[[#This Row],[DÉBITO]]</f>
        <v>0</v>
      </c>
      <c r="H31" s="129">
        <v>46076</v>
      </c>
      <c r="I31" s="128"/>
    </row>
    <row r="32" spans="1:9" ht="12.75" thickBot="1" x14ac:dyDescent="0.3">
      <c r="A32" s="32">
        <v>46066</v>
      </c>
      <c r="B32" s="32">
        <v>46073</v>
      </c>
      <c r="C32" s="33" t="str">
        <f t="shared" si="0"/>
        <v>FEBRERO</v>
      </c>
      <c r="D32" s="127" t="s">
        <v>282</v>
      </c>
      <c r="E32" s="131">
        <v>17476343.399999999</v>
      </c>
      <c r="F32" s="132">
        <v>17476343.399999999</v>
      </c>
      <c r="G32" s="34">
        <f>+[3]!Tabla1[[#This Row],[CRÉDITO]]-[3]!Tabla1[[#This Row],[DÉBITO]]</f>
        <v>0</v>
      </c>
      <c r="H32" s="129">
        <v>46076</v>
      </c>
      <c r="I32" s="128"/>
    </row>
    <row r="33" spans="1:9" ht="12.75" thickBot="1" x14ac:dyDescent="0.3">
      <c r="A33" s="32">
        <v>46078</v>
      </c>
      <c r="B33" s="32">
        <v>46108</v>
      </c>
      <c r="C33" s="33" t="str">
        <f t="shared" si="0"/>
        <v>MARZO</v>
      </c>
      <c r="D33" s="127" t="s">
        <v>291</v>
      </c>
      <c r="E33" s="131">
        <v>7666681.4000000004</v>
      </c>
      <c r="F33" s="132">
        <v>7666681.4000000004</v>
      </c>
      <c r="G33" s="34">
        <f>+[3]!Tabla1[[#This Row],[CRÉDITO]]-[3]!Tabla1[[#This Row],[DÉBITO]]</f>
        <v>0</v>
      </c>
      <c r="H33" s="129">
        <v>46111</v>
      </c>
      <c r="I33" s="128"/>
    </row>
    <row r="34" spans="1:9" ht="12.75" thickBot="1" x14ac:dyDescent="0.3">
      <c r="A34" s="32">
        <v>46078</v>
      </c>
      <c r="B34" s="32">
        <v>46108</v>
      </c>
      <c r="C34" s="33" t="str">
        <f t="shared" si="0"/>
        <v>MARZO</v>
      </c>
      <c r="D34" s="127" t="s">
        <v>295</v>
      </c>
      <c r="E34" s="131">
        <v>10557238.390000001</v>
      </c>
      <c r="F34" s="132">
        <v>10557238.390000001</v>
      </c>
      <c r="G34" s="34">
        <f>+[3]!Tabla1[[#This Row],[CRÉDITO]]-[3]!Tabla1[[#This Row],[DÉBITO]]</f>
        <v>0</v>
      </c>
      <c r="H34" s="129">
        <v>46111</v>
      </c>
      <c r="I34" s="128"/>
    </row>
    <row r="35" spans="1:9" ht="12.75" thickBot="1" x14ac:dyDescent="0.3">
      <c r="A35" s="32">
        <v>46078</v>
      </c>
      <c r="B35" s="32">
        <v>46108</v>
      </c>
      <c r="C35" s="33" t="str">
        <f t="shared" si="0"/>
        <v>MARZO</v>
      </c>
      <c r="D35" s="127" t="s">
        <v>287</v>
      </c>
      <c r="E35" s="131">
        <v>11230010.08</v>
      </c>
      <c r="F35" s="132">
        <v>11230010.08</v>
      </c>
      <c r="G35" s="34">
        <f>+[3]!Tabla1[[#This Row],[CRÉDITO]]-[3]!Tabla1[[#This Row],[DÉBITO]]</f>
        <v>0</v>
      </c>
      <c r="H35" s="129">
        <v>46111</v>
      </c>
      <c r="I35" s="128"/>
    </row>
    <row r="36" spans="1:9" ht="12.75" thickBot="1" x14ac:dyDescent="0.3">
      <c r="A36" s="32">
        <v>46078</v>
      </c>
      <c r="B36" s="32">
        <v>46108</v>
      </c>
      <c r="C36" s="33" t="str">
        <f t="shared" si="0"/>
        <v>MARZO</v>
      </c>
      <c r="D36" s="127" t="s">
        <v>283</v>
      </c>
      <c r="E36" s="131">
        <v>53697.52</v>
      </c>
      <c r="F36" s="132">
        <v>53697.52</v>
      </c>
      <c r="G36" s="34">
        <f>+[3]!Tabla1[[#This Row],[CRÉDITO]]-[3]!Tabla1[[#This Row],[DÉBITO]]</f>
        <v>0</v>
      </c>
      <c r="H36" s="129">
        <v>46111</v>
      </c>
      <c r="I36" s="128"/>
    </row>
    <row r="37" spans="1:9" ht="12.75" thickBot="1" x14ac:dyDescent="0.3">
      <c r="A37" s="32">
        <v>46078</v>
      </c>
      <c r="B37" s="32">
        <v>46108</v>
      </c>
      <c r="C37" s="33" t="str">
        <f t="shared" si="0"/>
        <v>MARZO</v>
      </c>
      <c r="D37" s="127" t="s">
        <v>286</v>
      </c>
      <c r="E37" s="131">
        <v>3015842.78</v>
      </c>
      <c r="F37" s="132">
        <v>3015842.78</v>
      </c>
      <c r="G37" s="34">
        <f>+[3]!Tabla1[[#This Row],[CRÉDITO]]-[3]!Tabla1[[#This Row],[DÉBITO]]</f>
        <v>0</v>
      </c>
      <c r="H37" s="129">
        <v>46111</v>
      </c>
      <c r="I37" s="128"/>
    </row>
    <row r="38" spans="1:9" ht="12.75" thickBot="1" x14ac:dyDescent="0.3">
      <c r="A38" s="32">
        <v>46078</v>
      </c>
      <c r="B38" s="32">
        <v>46101</v>
      </c>
      <c r="C38" s="33" t="str">
        <f t="shared" si="0"/>
        <v>MARZO</v>
      </c>
      <c r="D38" s="127" t="s">
        <v>283</v>
      </c>
      <c r="E38" s="131">
        <v>79267.77</v>
      </c>
      <c r="F38" s="132">
        <v>79267.77</v>
      </c>
      <c r="G38" s="34">
        <f>+[3]!Tabla1[[#This Row],[CRÉDITO]]-[3]!Tabla1[[#This Row],[DÉBITO]]</f>
        <v>0</v>
      </c>
      <c r="H38" s="129">
        <v>46106</v>
      </c>
      <c r="I38" s="128"/>
    </row>
    <row r="39" spans="1:9" ht="12.75" thickBot="1" x14ac:dyDescent="0.3">
      <c r="A39" s="32">
        <v>46078</v>
      </c>
      <c r="B39" s="32">
        <v>46101</v>
      </c>
      <c r="C39" s="33" t="str">
        <f t="shared" si="0"/>
        <v>MARZO</v>
      </c>
      <c r="D39" s="127" t="s">
        <v>289</v>
      </c>
      <c r="E39" s="131">
        <v>831766.59</v>
      </c>
      <c r="F39" s="132">
        <v>831766.59</v>
      </c>
      <c r="G39" s="34">
        <f>+[3]!Tabla1[[#This Row],[CRÉDITO]]-[3]!Tabla1[[#This Row],[DÉBITO]]</f>
        <v>0</v>
      </c>
      <c r="H39" s="129">
        <v>46107</v>
      </c>
      <c r="I39" s="128"/>
    </row>
    <row r="40" spans="1:9" ht="12.75" thickBot="1" x14ac:dyDescent="0.3">
      <c r="A40" s="32">
        <v>46078</v>
      </c>
      <c r="B40" s="32">
        <v>46101</v>
      </c>
      <c r="C40" s="33" t="str">
        <f t="shared" si="0"/>
        <v>MARZO</v>
      </c>
      <c r="D40" s="127" t="s">
        <v>296</v>
      </c>
      <c r="E40" s="131">
        <v>1476869.25</v>
      </c>
      <c r="F40" s="132">
        <v>1476869.25</v>
      </c>
      <c r="G40" s="34">
        <f>+[3]!Tabla1[[#This Row],[CRÉDITO]]-[3]!Tabla1[[#This Row],[DÉBITO]]</f>
        <v>0</v>
      </c>
      <c r="H40" s="129">
        <v>46106</v>
      </c>
      <c r="I40" s="128"/>
    </row>
    <row r="41" spans="1:9" ht="12.75" thickBot="1" x14ac:dyDescent="0.3">
      <c r="A41" s="32">
        <v>46078</v>
      </c>
      <c r="B41" s="32">
        <v>46101</v>
      </c>
      <c r="C41" s="33" t="str">
        <f t="shared" si="0"/>
        <v>MARZO</v>
      </c>
      <c r="D41" s="127" t="s">
        <v>294</v>
      </c>
      <c r="E41" s="131">
        <v>4161275.14</v>
      </c>
      <c r="F41" s="132">
        <v>4161275.14</v>
      </c>
      <c r="G41" s="34">
        <f>+[3]!Tabla1[[#This Row],[CRÉDITO]]-[3]!Tabla1[[#This Row],[DÉBITO]]</f>
        <v>0</v>
      </c>
      <c r="H41" s="129">
        <v>46106</v>
      </c>
      <c r="I41" s="128"/>
    </row>
    <row r="42" spans="1:9" ht="12.75" thickBot="1" x14ac:dyDescent="0.3">
      <c r="A42" s="32">
        <v>46078</v>
      </c>
      <c r="B42" s="32">
        <v>46101</v>
      </c>
      <c r="C42" s="33" t="str">
        <f t="shared" si="0"/>
        <v>MARZO</v>
      </c>
      <c r="D42" s="127" t="s">
        <v>284</v>
      </c>
      <c r="E42" s="131">
        <v>501293.47</v>
      </c>
      <c r="F42" s="132">
        <v>501293.47</v>
      </c>
      <c r="G42" s="34">
        <f>+[3]!Tabla1[[#This Row],[CRÉDITO]]-[3]!Tabla1[[#This Row],[DÉBITO]]</f>
        <v>0</v>
      </c>
      <c r="H42" s="129">
        <v>46106</v>
      </c>
      <c r="I42" s="128"/>
    </row>
    <row r="43" spans="1:9" ht="12.75" thickBot="1" x14ac:dyDescent="0.3">
      <c r="A43" s="32">
        <v>46078</v>
      </c>
      <c r="B43" s="32">
        <v>46101</v>
      </c>
      <c r="C43" s="33" t="str">
        <f t="shared" si="0"/>
        <v>MARZO</v>
      </c>
      <c r="D43" s="127" t="s">
        <v>291</v>
      </c>
      <c r="E43" s="132">
        <v>655843.4</v>
      </c>
      <c r="F43" s="132">
        <v>655843.4</v>
      </c>
      <c r="G43" s="34">
        <f>+[3]!Tabla1[[#This Row],[CRÉDITO]]-[3]!Tabla1[[#This Row],[DÉBITO]]</f>
        <v>0</v>
      </c>
      <c r="H43" s="129">
        <v>46135</v>
      </c>
      <c r="I43" s="128"/>
    </row>
    <row r="44" spans="1:9" ht="12.75" thickBot="1" x14ac:dyDescent="0.3">
      <c r="A44" s="32">
        <v>46078</v>
      </c>
      <c r="B44" s="32">
        <v>46101</v>
      </c>
      <c r="C44" s="33" t="str">
        <f t="shared" si="0"/>
        <v>MARZO</v>
      </c>
      <c r="D44" s="127" t="s">
        <v>293</v>
      </c>
      <c r="E44" s="131">
        <v>1139411.4099999999</v>
      </c>
      <c r="F44" s="132">
        <v>1139411.4099999999</v>
      </c>
      <c r="G44" s="34">
        <f>+[3]!Tabla1[[#This Row],[CRÉDITO]]-[3]!Tabla1[[#This Row],[DÉBITO]]</f>
        <v>0</v>
      </c>
      <c r="H44" s="129">
        <v>46106</v>
      </c>
      <c r="I44" s="128"/>
    </row>
    <row r="45" spans="1:9" ht="12.75" thickBot="1" x14ac:dyDescent="0.3">
      <c r="A45" s="32">
        <v>46078</v>
      </c>
      <c r="B45" s="32">
        <v>46098</v>
      </c>
      <c r="C45" s="33" t="str">
        <f t="shared" si="0"/>
        <v>MARZO</v>
      </c>
      <c r="D45" s="127" t="s">
        <v>285</v>
      </c>
      <c r="E45" s="131">
        <v>603308.4</v>
      </c>
      <c r="F45" s="132">
        <v>603308.4</v>
      </c>
      <c r="G45" s="34">
        <f>+[3]!Tabla1[[#This Row],[CRÉDITO]]-[3]!Tabla1[[#This Row],[DÉBITO]]</f>
        <v>0</v>
      </c>
      <c r="H45" s="129">
        <v>46099</v>
      </c>
      <c r="I45" s="128"/>
    </row>
    <row r="46" spans="1:9" ht="12.75" thickBot="1" x14ac:dyDescent="0.3">
      <c r="A46" s="32">
        <v>46078</v>
      </c>
      <c r="B46" s="32">
        <v>46094</v>
      </c>
      <c r="C46" s="33" t="str">
        <f t="shared" si="0"/>
        <v>MARZO</v>
      </c>
      <c r="D46" s="127" t="s">
        <v>292</v>
      </c>
      <c r="E46" s="131">
        <v>433160</v>
      </c>
      <c r="F46" s="132">
        <v>433160</v>
      </c>
      <c r="G46" s="34">
        <f>+[3]!Tabla1[[#This Row],[CRÉDITO]]-[3]!Tabla1[[#This Row],[DÉBITO]]</f>
        <v>0</v>
      </c>
      <c r="H46" s="129">
        <v>46097</v>
      </c>
      <c r="I46" s="128"/>
    </row>
    <row r="47" spans="1:9" ht="12.75" thickBot="1" x14ac:dyDescent="0.3">
      <c r="A47" s="32">
        <v>46078</v>
      </c>
      <c r="B47" s="32">
        <v>46094</v>
      </c>
      <c r="C47" s="33" t="str">
        <f t="shared" si="0"/>
        <v>MARZO</v>
      </c>
      <c r="D47" s="127" t="s">
        <v>288</v>
      </c>
      <c r="E47" s="131">
        <v>5969747.4000000004</v>
      </c>
      <c r="F47" s="132">
        <v>5969747.4000000004</v>
      </c>
      <c r="G47" s="34">
        <f>+[3]!Tabla1[[#This Row],[CRÉDITO]]-[3]!Tabla1[[#This Row],[DÉBITO]]</f>
        <v>0</v>
      </c>
      <c r="H47" s="129">
        <v>46107</v>
      </c>
      <c r="I47" s="128"/>
    </row>
    <row r="48" spans="1:9" ht="12.75" thickBot="1" x14ac:dyDescent="0.3">
      <c r="A48" s="32">
        <v>46078</v>
      </c>
      <c r="B48" s="32">
        <v>46094</v>
      </c>
      <c r="C48" s="33" t="str">
        <f t="shared" si="0"/>
        <v>MARZO</v>
      </c>
      <c r="D48" s="127" t="s">
        <v>283</v>
      </c>
      <c r="E48" s="131">
        <v>197284.3</v>
      </c>
      <c r="F48" s="132">
        <v>197284.3</v>
      </c>
      <c r="G48" s="34">
        <f>+[3]!Tabla1[[#This Row],[CRÉDITO]]-[3]!Tabla1[[#This Row],[DÉBITO]]</f>
        <v>0</v>
      </c>
      <c r="H48" s="129">
        <v>46100</v>
      </c>
      <c r="I48" s="128"/>
    </row>
    <row r="49" spans="1:9" ht="12.75" thickBot="1" x14ac:dyDescent="0.3">
      <c r="A49" s="32">
        <v>46078</v>
      </c>
      <c r="B49" s="32">
        <v>46094</v>
      </c>
      <c r="C49" s="33" t="str">
        <f t="shared" si="0"/>
        <v>MARZO</v>
      </c>
      <c r="D49" s="127" t="s">
        <v>290</v>
      </c>
      <c r="E49" s="131">
        <v>16107454.699999999</v>
      </c>
      <c r="F49" s="132">
        <v>16107454.699999999</v>
      </c>
      <c r="G49" s="34">
        <f>+[3]!Tabla1[[#This Row],[CRÉDITO]]-[3]!Tabla1[[#This Row],[DÉBITO]]</f>
        <v>0</v>
      </c>
      <c r="H49" s="129">
        <v>46098</v>
      </c>
      <c r="I49" s="128"/>
    </row>
    <row r="50" spans="1:9" ht="12.75" thickBot="1" x14ac:dyDescent="0.3">
      <c r="A50" s="32">
        <v>46097</v>
      </c>
      <c r="B50" s="32">
        <v>46104</v>
      </c>
      <c r="C50" s="33" t="str">
        <f t="shared" si="0"/>
        <v>MARZO</v>
      </c>
      <c r="D50" s="127" t="s">
        <v>285</v>
      </c>
      <c r="E50" s="131">
        <v>582833.4</v>
      </c>
      <c r="F50" s="132">
        <v>582833.4</v>
      </c>
      <c r="G50" s="34">
        <f>+[3]!Tabla1[[#This Row],[CRÉDITO]]-[3]!Tabla1[[#This Row],[DÉBITO]]</f>
        <v>0</v>
      </c>
      <c r="H50" s="129">
        <v>46107</v>
      </c>
      <c r="I50" s="128"/>
    </row>
    <row r="51" spans="1:9" ht="12.75" thickBot="1" x14ac:dyDescent="0.3">
      <c r="A51" s="32">
        <v>46097</v>
      </c>
      <c r="B51" s="32">
        <v>46104</v>
      </c>
      <c r="C51" s="33" t="str">
        <f t="shared" si="0"/>
        <v>MARZO</v>
      </c>
      <c r="D51" s="127" t="s">
        <v>290</v>
      </c>
      <c r="E51" s="131">
        <v>16107454.699999999</v>
      </c>
      <c r="F51" s="132">
        <v>16107454.699999999</v>
      </c>
      <c r="G51" s="34">
        <f>+[3]!Tabla1[[#This Row],[CRÉDITO]]-[3]!Tabla1[[#This Row],[DÉBITO]]</f>
        <v>0</v>
      </c>
      <c r="H51" s="129">
        <v>46107</v>
      </c>
      <c r="I51" s="128"/>
    </row>
    <row r="52" spans="1:9" ht="12.75" thickBot="1" x14ac:dyDescent="0.3">
      <c r="A52" s="32">
        <v>46097</v>
      </c>
      <c r="B52" s="32">
        <v>46106</v>
      </c>
      <c r="C52" s="33" t="str">
        <f t="shared" si="0"/>
        <v>MARZO</v>
      </c>
      <c r="D52" s="127" t="s">
        <v>298</v>
      </c>
      <c r="E52" s="131">
        <v>415305.02</v>
      </c>
      <c r="F52" s="132">
        <v>415305.02</v>
      </c>
      <c r="G52" s="34">
        <f>+[3]!Tabla1[[#This Row],[CRÉDITO]]-[3]!Tabla1[[#This Row],[DÉBITO]]</f>
        <v>0</v>
      </c>
      <c r="H52" s="129">
        <v>46107</v>
      </c>
      <c r="I52" s="128"/>
    </row>
    <row r="53" spans="1:9" ht="12.75" thickBot="1" x14ac:dyDescent="0.3">
      <c r="A53" s="32">
        <v>46097</v>
      </c>
      <c r="B53" s="32">
        <v>46106</v>
      </c>
      <c r="C53" s="33" t="str">
        <f t="shared" si="0"/>
        <v>MARZO</v>
      </c>
      <c r="D53" s="127" t="s">
        <v>297</v>
      </c>
      <c r="E53" s="131">
        <v>1614166.55</v>
      </c>
      <c r="F53" s="132">
        <v>1614166.55</v>
      </c>
      <c r="G53" s="34">
        <f>+[3]!Tabla1[[#This Row],[CRÉDITO]]-[3]!Tabla1[[#This Row],[DÉBITO]]</f>
        <v>0</v>
      </c>
      <c r="H53" s="129">
        <v>46111</v>
      </c>
      <c r="I53" s="128"/>
    </row>
    <row r="54" spans="1:9" ht="12.75" thickBot="1" x14ac:dyDescent="0.3">
      <c r="A54" s="32">
        <v>46097</v>
      </c>
      <c r="B54" s="32">
        <v>46104</v>
      </c>
      <c r="C54" s="33" t="str">
        <f t="shared" si="0"/>
        <v>MARZO</v>
      </c>
      <c r="D54" s="127" t="s">
        <v>288</v>
      </c>
      <c r="E54" s="131">
        <v>5969747.4000000004</v>
      </c>
      <c r="F54" s="132">
        <v>5969747.4000000004</v>
      </c>
      <c r="G54" s="34">
        <f>+[3]!Tabla1[[#This Row],[CRÉDITO]]-[3]!Tabla1[[#This Row],[DÉBITO]]</f>
        <v>0</v>
      </c>
      <c r="H54" s="129">
        <v>46097</v>
      </c>
      <c r="I54" s="128"/>
    </row>
    <row r="55" spans="1:9" ht="12.75" thickBot="1" x14ac:dyDescent="0.3">
      <c r="A55" s="32">
        <v>46097</v>
      </c>
      <c r="B55" s="32">
        <v>46122</v>
      </c>
      <c r="C55" s="33" t="str">
        <f t="shared" si="0"/>
        <v>ABRIL</v>
      </c>
      <c r="D55" s="127" t="s">
        <v>293</v>
      </c>
      <c r="E55" s="132">
        <v>1191762.53</v>
      </c>
      <c r="F55" s="132">
        <v>1191762.53</v>
      </c>
      <c r="G55" s="34">
        <f>+[3]!Tabla1[[#This Row],[CRÉDITO]]-[3]!Tabla1[[#This Row],[DÉBITO]]</f>
        <v>0</v>
      </c>
      <c r="H55" s="129">
        <v>46125</v>
      </c>
      <c r="I55" s="128"/>
    </row>
    <row r="56" spans="1:9" ht="12.75" thickBot="1" x14ac:dyDescent="0.3">
      <c r="A56" s="32">
        <v>46097</v>
      </c>
      <c r="B56" s="32">
        <v>46122</v>
      </c>
      <c r="C56" s="33" t="str">
        <f t="shared" si="0"/>
        <v>ABRIL</v>
      </c>
      <c r="D56" s="127" t="s">
        <v>291</v>
      </c>
      <c r="E56" s="132">
        <v>203022.46</v>
      </c>
      <c r="F56" s="132">
        <v>203022.46</v>
      </c>
      <c r="G56" s="34">
        <f>+[3]!Tabla1[[#This Row],[CRÉDITO]]-[3]!Tabla1[[#This Row],[DÉBITO]]</f>
        <v>0</v>
      </c>
      <c r="H56" s="129">
        <v>46125</v>
      </c>
      <c r="I56" s="128"/>
    </row>
    <row r="57" spans="1:9" ht="12.75" thickBot="1" x14ac:dyDescent="0.3">
      <c r="A57" s="32">
        <v>46097</v>
      </c>
      <c r="B57" s="32">
        <v>46122</v>
      </c>
      <c r="C57" s="33" t="str">
        <f t="shared" si="0"/>
        <v>ABRIL</v>
      </c>
      <c r="D57" s="127" t="s">
        <v>287</v>
      </c>
      <c r="E57" s="132">
        <v>11230010.08</v>
      </c>
      <c r="F57" s="132">
        <v>11230010.08</v>
      </c>
      <c r="G57" s="34">
        <f>+[3]!Tabla1[[#This Row],[CRÉDITO]]-[3]!Tabla1[[#This Row],[DÉBITO]]</f>
        <v>0</v>
      </c>
      <c r="H57" s="129">
        <v>46126</v>
      </c>
      <c r="I57" s="128"/>
    </row>
    <row r="58" spans="1:9" ht="12.75" thickBot="1" x14ac:dyDescent="0.3">
      <c r="A58" s="32">
        <v>46097</v>
      </c>
      <c r="B58" s="32">
        <v>46122</v>
      </c>
      <c r="C58" s="33" t="str">
        <f t="shared" si="0"/>
        <v>ABRIL</v>
      </c>
      <c r="D58" s="127" t="s">
        <v>289</v>
      </c>
      <c r="E58" s="132">
        <v>942433.54</v>
      </c>
      <c r="F58" s="132">
        <v>942433.54</v>
      </c>
      <c r="G58" s="34">
        <f>+[3]!Tabla1[[#This Row],[CRÉDITO]]-[3]!Tabla1[[#This Row],[DÉBITO]]</f>
        <v>0</v>
      </c>
      <c r="H58" s="129">
        <v>46126</v>
      </c>
      <c r="I58" s="128"/>
    </row>
    <row r="59" spans="1:9" ht="12.75" thickBot="1" x14ac:dyDescent="0.3">
      <c r="A59" s="32">
        <v>46097</v>
      </c>
      <c r="B59" s="32">
        <v>46115</v>
      </c>
      <c r="C59" s="33" t="str">
        <f t="shared" si="0"/>
        <v>ABRIL</v>
      </c>
      <c r="D59" s="127" t="s">
        <v>283</v>
      </c>
      <c r="E59" s="132">
        <v>112928.51</v>
      </c>
      <c r="F59" s="132">
        <v>112928.51</v>
      </c>
      <c r="G59" s="34">
        <f>+[3]!Tabla1[[#This Row],[CRÉDITO]]-[3]!Tabla1[[#This Row],[DÉBITO]]</f>
        <v>0</v>
      </c>
      <c r="H59" s="129">
        <v>46119</v>
      </c>
      <c r="I59" s="128"/>
    </row>
    <row r="60" spans="1:9" ht="12.75" thickBot="1" x14ac:dyDescent="0.3">
      <c r="A60" s="32">
        <v>46097</v>
      </c>
      <c r="B60" s="32">
        <v>46129</v>
      </c>
      <c r="C60" s="33" t="str">
        <f t="shared" si="0"/>
        <v>ABRIL</v>
      </c>
      <c r="D60" s="127" t="s">
        <v>286</v>
      </c>
      <c r="E60" s="132">
        <v>2415376.71</v>
      </c>
      <c r="F60" s="132">
        <v>2415376.71</v>
      </c>
      <c r="G60" s="34">
        <f>+[3]!Tabla1[[#This Row],[CRÉDITO]]-[3]!Tabla1[[#This Row],[DÉBITO]]</f>
        <v>0</v>
      </c>
      <c r="H60" s="129">
        <v>46132</v>
      </c>
      <c r="I60" s="128"/>
    </row>
    <row r="61" spans="1:9" ht="12.75" thickBot="1" x14ac:dyDescent="0.3">
      <c r="A61" s="32">
        <v>46097</v>
      </c>
      <c r="B61" s="32">
        <v>46129</v>
      </c>
      <c r="C61" s="33" t="str">
        <f t="shared" si="0"/>
        <v>ABRIL</v>
      </c>
      <c r="D61" s="127" t="s">
        <v>292</v>
      </c>
      <c r="E61" s="132">
        <v>433160</v>
      </c>
      <c r="F61" s="132">
        <v>433160</v>
      </c>
      <c r="G61" s="34">
        <f>+[3]!Tabla1[[#This Row],[CRÉDITO]]-[3]!Tabla1[[#This Row],[DÉBITO]]</f>
        <v>0</v>
      </c>
      <c r="H61" s="129">
        <v>46132</v>
      </c>
      <c r="I61" s="128"/>
    </row>
    <row r="62" spans="1:9" ht="12.75" thickBot="1" x14ac:dyDescent="0.3">
      <c r="A62" s="32">
        <v>46097</v>
      </c>
      <c r="B62" s="32">
        <v>46142</v>
      </c>
      <c r="C62" s="33" t="str">
        <f t="shared" si="0"/>
        <v>ABRIL</v>
      </c>
      <c r="D62" s="127" t="s">
        <v>297</v>
      </c>
      <c r="E62" s="132">
        <v>670584.44999999995</v>
      </c>
      <c r="F62" s="132">
        <v>670584.44999999995</v>
      </c>
      <c r="G62" s="34">
        <f>+[3]!Tabla1[[#This Row],[CRÉDITO]]-[3]!Tabla1[[#This Row],[DÉBITO]]</f>
        <v>0</v>
      </c>
      <c r="H62" s="129">
        <v>46146</v>
      </c>
      <c r="I62" s="128"/>
    </row>
    <row r="63" spans="1:9" ht="12.75" thickBot="1" x14ac:dyDescent="0.3">
      <c r="A63" s="32">
        <v>46097</v>
      </c>
      <c r="B63" s="32">
        <v>46142</v>
      </c>
      <c r="C63" s="33" t="str">
        <f t="shared" si="0"/>
        <v>ABRIL</v>
      </c>
      <c r="D63" s="127" t="s">
        <v>295</v>
      </c>
      <c r="E63" s="132">
        <v>10097532.029999999</v>
      </c>
      <c r="F63" s="132">
        <v>10097532.029999999</v>
      </c>
      <c r="G63" s="34">
        <f>+[3]!Tabla1[[#This Row],[CRÉDITO]]-[3]!Tabla1[[#This Row],[DÉBITO]]</f>
        <v>0</v>
      </c>
      <c r="H63" s="129">
        <v>46146</v>
      </c>
      <c r="I63" s="128"/>
    </row>
    <row r="64" spans="1:9" ht="12.75" thickBot="1" x14ac:dyDescent="0.3">
      <c r="A64" s="32">
        <v>46097</v>
      </c>
      <c r="B64" s="32">
        <v>46142</v>
      </c>
      <c r="C64" s="33" t="str">
        <f t="shared" si="0"/>
        <v>ABRIL</v>
      </c>
      <c r="D64" s="127" t="s">
        <v>291</v>
      </c>
      <c r="E64" s="132">
        <v>213822.1</v>
      </c>
      <c r="F64" s="132">
        <v>213822.1</v>
      </c>
      <c r="G64" s="34">
        <f>+[3]!Tabla1[[#This Row],[CRÉDITO]]-[3]!Tabla1[[#This Row],[DÉBITO]]</f>
        <v>0</v>
      </c>
      <c r="H64" s="129">
        <v>46146</v>
      </c>
      <c r="I64" s="128"/>
    </row>
    <row r="65" spans="1:9" ht="12.75" thickBot="1" x14ac:dyDescent="0.3">
      <c r="A65" s="32">
        <v>46097</v>
      </c>
      <c r="B65" s="32">
        <v>46142</v>
      </c>
      <c r="C65" s="33" t="str">
        <f t="shared" si="0"/>
        <v>ABRIL</v>
      </c>
      <c r="D65" s="127" t="s">
        <v>294</v>
      </c>
      <c r="E65" s="132">
        <v>4179128.92</v>
      </c>
      <c r="F65" s="132">
        <v>4179128.92</v>
      </c>
      <c r="G65" s="34">
        <f>+[3]!Tabla1[[#This Row],[CRÉDITO]]-[3]!Tabla1[[#This Row],[DÉBITO]]</f>
        <v>0</v>
      </c>
      <c r="H65" s="129">
        <v>46146</v>
      </c>
      <c r="I65" s="128"/>
    </row>
    <row r="66" spans="1:9" ht="12.75" thickBot="1" x14ac:dyDescent="0.3">
      <c r="A66" s="32">
        <v>46097</v>
      </c>
      <c r="B66" s="32">
        <v>46142</v>
      </c>
      <c r="C66" s="33" t="str">
        <f t="shared" ref="C66:C129" si="1">UPPER(IF(B66="","",TEXT(B66,"MMMM")))</f>
        <v>ABRIL</v>
      </c>
      <c r="D66" s="127" t="s">
        <v>296</v>
      </c>
      <c r="E66" s="132">
        <v>1476869.25</v>
      </c>
      <c r="F66" s="132">
        <v>1476869.25</v>
      </c>
      <c r="G66" s="34">
        <f>+[3]!Tabla1[[#This Row],[CRÉDITO]]-[3]!Tabla1[[#This Row],[DÉBITO]]</f>
        <v>0</v>
      </c>
      <c r="H66" s="129">
        <v>46146</v>
      </c>
      <c r="I66" s="128"/>
    </row>
    <row r="67" spans="1:9" ht="12.75" thickBot="1" x14ac:dyDescent="0.3">
      <c r="A67" s="32">
        <v>46108</v>
      </c>
      <c r="B67" s="32">
        <v>46109</v>
      </c>
      <c r="C67" s="33" t="str">
        <f t="shared" si="1"/>
        <v>MARZO</v>
      </c>
      <c r="D67" s="127" t="s">
        <v>299</v>
      </c>
      <c r="E67" s="131">
        <v>1420617.45</v>
      </c>
      <c r="F67" s="132">
        <v>1420617.45</v>
      </c>
      <c r="G67" s="34">
        <f>+[3]!Tabla1[[#This Row],[CRÉDITO]]-[3]!Tabla1[[#This Row],[DÉBITO]]</f>
        <v>0</v>
      </c>
      <c r="H67" s="129">
        <v>46111</v>
      </c>
      <c r="I67" s="128"/>
    </row>
    <row r="68" spans="1:9" ht="12.75" thickBot="1" x14ac:dyDescent="0.3">
      <c r="A68" s="32">
        <v>46108</v>
      </c>
      <c r="B68" s="32">
        <v>46138</v>
      </c>
      <c r="C68" s="33" t="str">
        <f t="shared" si="1"/>
        <v>ABRIL</v>
      </c>
      <c r="D68" s="127" t="s">
        <v>299</v>
      </c>
      <c r="E68" s="132">
        <v>852370.47</v>
      </c>
      <c r="F68" s="132">
        <v>852370.47</v>
      </c>
      <c r="G68" s="34">
        <f>+[3]!Tabla1[[#This Row],[CRÉDITO]]-[3]!Tabla1[[#This Row],[DÉBITO]]</f>
        <v>0</v>
      </c>
      <c r="H68" s="129">
        <v>46140</v>
      </c>
      <c r="I68" s="128"/>
    </row>
    <row r="69" spans="1:9" ht="12.75" thickBot="1" x14ac:dyDescent="0.3">
      <c r="A69" s="32">
        <v>46108</v>
      </c>
      <c r="B69" s="32">
        <v>46168</v>
      </c>
      <c r="C69" s="33" t="str">
        <f t="shared" si="1"/>
        <v>MAYO</v>
      </c>
      <c r="D69" s="127" t="s">
        <v>299</v>
      </c>
      <c r="E69" s="132">
        <v>852370.47</v>
      </c>
      <c r="F69" s="132">
        <v>852370.47</v>
      </c>
      <c r="G69" s="34">
        <f>+[3]!Tabla1[[#This Row],[CRÉDITO]]-[3]!Tabla1[[#This Row],[DÉBITO]]</f>
        <v>0</v>
      </c>
      <c r="H69" s="129">
        <v>46169</v>
      </c>
      <c r="I69" s="128"/>
    </row>
    <row r="70" spans="1:9" ht="12.75" thickBot="1" x14ac:dyDescent="0.3">
      <c r="A70" s="32">
        <v>46108</v>
      </c>
      <c r="B70" s="32">
        <v>46198</v>
      </c>
      <c r="C70" s="33" t="str">
        <f t="shared" si="1"/>
        <v>JUNIO</v>
      </c>
      <c r="D70" s="127" t="s">
        <v>299</v>
      </c>
      <c r="E70" s="132">
        <v>852370.47</v>
      </c>
      <c r="F70" s="132">
        <v>852370.47</v>
      </c>
      <c r="G70" s="34">
        <f>+[3]!Tabla1[[#This Row],[CRÉDITO]]-[3]!Tabla1[[#This Row],[DÉBITO]]</f>
        <v>0</v>
      </c>
      <c r="H70" s="129">
        <v>46199</v>
      </c>
      <c r="I70" s="128"/>
    </row>
    <row r="71" spans="1:9" ht="12.75" thickBot="1" x14ac:dyDescent="0.3">
      <c r="A71" s="32">
        <v>46107</v>
      </c>
      <c r="B71" s="32">
        <v>46108</v>
      </c>
      <c r="C71" s="33" t="str">
        <f t="shared" si="1"/>
        <v>MARZO</v>
      </c>
      <c r="D71" s="127" t="s">
        <v>282</v>
      </c>
      <c r="E71" s="131">
        <v>25631343.399999999</v>
      </c>
      <c r="F71" s="132">
        <v>25631343.399999999</v>
      </c>
      <c r="G71" s="34">
        <f>+[3]!Tabla1[[#This Row],[CRÉDITO]]-[3]!Tabla1[[#This Row],[DÉBITO]]</f>
        <v>0</v>
      </c>
      <c r="H71" s="129">
        <v>46111</v>
      </c>
      <c r="I71" s="128"/>
    </row>
    <row r="72" spans="1:9" ht="12.75" thickBot="1" x14ac:dyDescent="0.3">
      <c r="A72" s="32">
        <v>46107</v>
      </c>
      <c r="B72" s="32">
        <v>46112</v>
      </c>
      <c r="C72" s="33" t="str">
        <f t="shared" si="1"/>
        <v>MARZO</v>
      </c>
      <c r="D72" s="127" t="s">
        <v>282</v>
      </c>
      <c r="E72" s="131">
        <v>25630000</v>
      </c>
      <c r="F72" s="132">
        <v>25630000</v>
      </c>
      <c r="G72" s="34">
        <f>+[3]!Tabla1[[#This Row],[CRÉDITO]]-[3]!Tabla1[[#This Row],[DÉBITO]]</f>
        <v>0</v>
      </c>
      <c r="H72" s="129">
        <v>46113</v>
      </c>
      <c r="I72" s="128"/>
    </row>
    <row r="73" spans="1:9" ht="12.75" thickBot="1" x14ac:dyDescent="0.3">
      <c r="A73" s="32">
        <v>46112</v>
      </c>
      <c r="B73" s="32">
        <v>46142</v>
      </c>
      <c r="C73" s="33" t="str">
        <f t="shared" si="1"/>
        <v>ABRIL</v>
      </c>
      <c r="D73" s="127" t="s">
        <v>291</v>
      </c>
      <c r="E73" s="132">
        <v>333200</v>
      </c>
      <c r="F73" s="132">
        <v>333200</v>
      </c>
      <c r="G73" s="34">
        <f>+[3]!Tabla1[[#This Row],[CRÉDITO]]-[3]!Tabla1[[#This Row],[DÉBITO]]</f>
        <v>0</v>
      </c>
      <c r="H73" s="129">
        <v>46146</v>
      </c>
      <c r="I73" s="128"/>
    </row>
    <row r="74" spans="1:9" ht="12.75" thickBot="1" x14ac:dyDescent="0.3">
      <c r="A74" s="32">
        <v>46112</v>
      </c>
      <c r="B74" s="32">
        <v>46136</v>
      </c>
      <c r="C74" s="33" t="str">
        <f t="shared" si="1"/>
        <v>ABRIL</v>
      </c>
      <c r="D74" s="127" t="s">
        <v>294</v>
      </c>
      <c r="E74" s="132">
        <v>4177785.53</v>
      </c>
      <c r="F74" s="132">
        <v>4177785.53</v>
      </c>
      <c r="G74" s="34">
        <f>+[3]!Tabla1[[#This Row],[CRÉDITO]]-[3]!Tabla1[[#This Row],[DÉBITO]]</f>
        <v>0</v>
      </c>
      <c r="H74" s="129">
        <v>46139</v>
      </c>
      <c r="I74" s="128"/>
    </row>
    <row r="75" spans="1:9" ht="12.75" thickBot="1" x14ac:dyDescent="0.3">
      <c r="A75" s="32">
        <v>46112</v>
      </c>
      <c r="B75" s="32">
        <v>46136</v>
      </c>
      <c r="C75" s="33" t="str">
        <f t="shared" si="1"/>
        <v>ABRIL</v>
      </c>
      <c r="D75" s="127" t="s">
        <v>291</v>
      </c>
      <c r="E75" s="132">
        <v>6053988.3499999996</v>
      </c>
      <c r="F75" s="132">
        <v>6053988.3499999996</v>
      </c>
      <c r="G75" s="34">
        <f>+[3]!Tabla1[[#This Row],[CRÉDITO]]-[3]!Tabla1[[#This Row],[DÉBITO]]</f>
        <v>0</v>
      </c>
      <c r="H75" s="129">
        <v>46139</v>
      </c>
      <c r="I75" s="128"/>
    </row>
    <row r="76" spans="1:9" ht="12.75" thickBot="1" x14ac:dyDescent="0.3">
      <c r="A76" s="32">
        <v>46112</v>
      </c>
      <c r="B76" s="32">
        <v>46136</v>
      </c>
      <c r="C76" s="33" t="str">
        <f t="shared" si="1"/>
        <v>ABRIL</v>
      </c>
      <c r="D76" s="127" t="s">
        <v>283</v>
      </c>
      <c r="E76" s="132">
        <v>61835.95</v>
      </c>
      <c r="F76" s="132">
        <v>61835.95</v>
      </c>
      <c r="G76" s="34">
        <f>+[3]!Tabla1[[#This Row],[CRÉDITO]]-[3]!Tabla1[[#This Row],[DÉBITO]]</f>
        <v>0</v>
      </c>
      <c r="H76" s="129">
        <v>46139</v>
      </c>
      <c r="I76" s="128"/>
    </row>
    <row r="77" spans="1:9" ht="12.75" thickBot="1" x14ac:dyDescent="0.3">
      <c r="A77" s="32">
        <v>46112</v>
      </c>
      <c r="B77" s="32">
        <v>46129</v>
      </c>
      <c r="C77" s="33" t="str">
        <f t="shared" si="1"/>
        <v>ABRIL</v>
      </c>
      <c r="D77" s="127" t="s">
        <v>299</v>
      </c>
      <c r="E77" s="132">
        <v>165563.4</v>
      </c>
      <c r="F77" s="132">
        <v>165563.4</v>
      </c>
      <c r="G77" s="34">
        <f>+[3]!Tabla1[[#This Row],[CRÉDITO]]-[3]!Tabla1[[#This Row],[DÉBITO]]</f>
        <v>0</v>
      </c>
      <c r="H77" s="129">
        <v>46132</v>
      </c>
      <c r="I77" s="128"/>
    </row>
    <row r="78" spans="1:9" ht="12.75" thickBot="1" x14ac:dyDescent="0.3">
      <c r="A78" s="32">
        <v>46112</v>
      </c>
      <c r="B78" s="32">
        <v>46122</v>
      </c>
      <c r="C78" s="33" t="str">
        <f t="shared" si="1"/>
        <v>ABRIL</v>
      </c>
      <c r="D78" s="127" t="s">
        <v>284</v>
      </c>
      <c r="E78" s="132">
        <v>514520.31</v>
      </c>
      <c r="F78" s="132">
        <v>514520.31</v>
      </c>
      <c r="G78" s="34">
        <f>+[3]!Tabla1[[#This Row],[CRÉDITO]]-[3]!Tabla1[[#This Row],[DÉBITO]]</f>
        <v>0</v>
      </c>
      <c r="H78" s="129">
        <v>46125</v>
      </c>
      <c r="I78" s="128"/>
    </row>
    <row r="79" spans="1:9" ht="12.75" thickBot="1" x14ac:dyDescent="0.3">
      <c r="A79" s="32">
        <v>46112</v>
      </c>
      <c r="B79" s="32">
        <v>46122</v>
      </c>
      <c r="C79" s="33" t="str">
        <f t="shared" si="1"/>
        <v>ABRIL</v>
      </c>
      <c r="D79" s="127" t="s">
        <v>283</v>
      </c>
      <c r="E79" s="132">
        <v>114872.72</v>
      </c>
      <c r="F79" s="132">
        <v>114872.72</v>
      </c>
      <c r="G79" s="34">
        <f>+[3]!Tabla1[[#This Row],[CRÉDITO]]-[3]!Tabla1[[#This Row],[DÉBITO]]</f>
        <v>0</v>
      </c>
      <c r="H79" s="129">
        <v>46125</v>
      </c>
      <c r="I79" s="128"/>
    </row>
    <row r="80" spans="1:9" ht="12.75" thickBot="1" x14ac:dyDescent="0.3">
      <c r="A80" s="32">
        <v>46112</v>
      </c>
      <c r="B80" s="32">
        <v>46113</v>
      </c>
      <c r="C80" s="33" t="str">
        <f t="shared" si="1"/>
        <v>ABRIL</v>
      </c>
      <c r="D80" s="127" t="s">
        <v>287</v>
      </c>
      <c r="E80" s="132">
        <v>5585658.9900000002</v>
      </c>
      <c r="F80" s="132">
        <v>5585658.9900000002</v>
      </c>
      <c r="G80" s="34">
        <f>+[3]!Tabla1[[#This Row],[CRÉDITO]]-[3]!Tabla1[[#This Row],[DÉBITO]]</f>
        <v>0</v>
      </c>
      <c r="H80" s="129">
        <v>46119</v>
      </c>
      <c r="I80" s="128"/>
    </row>
    <row r="81" spans="1:9" ht="12.75" thickBot="1" x14ac:dyDescent="0.3">
      <c r="A81" s="32">
        <v>46129</v>
      </c>
      <c r="B81" s="32">
        <v>46142</v>
      </c>
      <c r="C81" s="33" t="str">
        <f t="shared" si="1"/>
        <v>ABRIL</v>
      </c>
      <c r="D81" s="127" t="s">
        <v>285</v>
      </c>
      <c r="E81" s="132">
        <v>580785.9</v>
      </c>
      <c r="F81" s="132">
        <v>580785.9</v>
      </c>
      <c r="G81" s="34">
        <f>+[3]!Tabla1[[#This Row],[CRÉDITO]]-[3]!Tabla1[[#This Row],[DÉBITO]]</f>
        <v>0</v>
      </c>
      <c r="H81" s="129">
        <v>46146</v>
      </c>
      <c r="I81" s="128"/>
    </row>
    <row r="82" spans="1:9" ht="12.75" thickBot="1" x14ac:dyDescent="0.3">
      <c r="A82" s="32">
        <v>46129</v>
      </c>
      <c r="B82" s="32">
        <v>46142</v>
      </c>
      <c r="C82" s="33" t="str">
        <f t="shared" si="1"/>
        <v>ABRIL</v>
      </c>
      <c r="D82" s="127" t="s">
        <v>300</v>
      </c>
      <c r="E82" s="132">
        <v>3957593.4</v>
      </c>
      <c r="F82" s="132">
        <v>3957593.4</v>
      </c>
      <c r="G82" s="34">
        <f>+[3]!Tabla1[[#This Row],[CRÉDITO]]-[3]!Tabla1[[#This Row],[DÉBITO]]</f>
        <v>0</v>
      </c>
      <c r="H82" s="129">
        <v>46146</v>
      </c>
      <c r="I82" s="128"/>
    </row>
    <row r="83" spans="1:9" ht="12.75" thickBot="1" x14ac:dyDescent="0.3">
      <c r="A83" s="32">
        <v>46129</v>
      </c>
      <c r="B83" s="32">
        <v>46142</v>
      </c>
      <c r="C83" s="33" t="str">
        <f t="shared" si="1"/>
        <v>ABRIL</v>
      </c>
      <c r="D83" s="127" t="s">
        <v>298</v>
      </c>
      <c r="E83" s="132">
        <v>173220.81</v>
      </c>
      <c r="F83" s="132">
        <v>173220.81</v>
      </c>
      <c r="G83" s="34">
        <f>+[3]!Tabla1[[#This Row],[CRÉDITO]]-[3]!Tabla1[[#This Row],[DÉBITO]]</f>
        <v>0</v>
      </c>
      <c r="H83" s="129">
        <v>46146</v>
      </c>
      <c r="I83" s="128"/>
    </row>
    <row r="84" spans="1:9" ht="12.75" thickBot="1" x14ac:dyDescent="0.3">
      <c r="A84" s="32">
        <v>46129</v>
      </c>
      <c r="B84" s="32">
        <v>46148</v>
      </c>
      <c r="C84" s="33" t="str">
        <f t="shared" si="1"/>
        <v>MAYO</v>
      </c>
      <c r="D84" s="127" t="s">
        <v>289</v>
      </c>
      <c r="E84" s="132">
        <v>2054566.39</v>
      </c>
      <c r="F84" s="132">
        <v>2054566.39</v>
      </c>
      <c r="G84" s="34">
        <f>+[3]!Tabla1[[#This Row],[CRÉDITO]]-[3]!Tabla1[[#This Row],[DÉBITO]]</f>
        <v>0</v>
      </c>
      <c r="H84" s="129">
        <v>46150</v>
      </c>
      <c r="I84" s="128"/>
    </row>
    <row r="85" spans="1:9" ht="12.75" thickBot="1" x14ac:dyDescent="0.3">
      <c r="A85" s="32">
        <v>46129</v>
      </c>
      <c r="B85" s="32">
        <v>46142</v>
      </c>
      <c r="C85" s="33" t="str">
        <f t="shared" si="1"/>
        <v>ABRIL</v>
      </c>
      <c r="D85" s="127" t="s">
        <v>292</v>
      </c>
      <c r="E85" s="132">
        <v>434503.4</v>
      </c>
      <c r="F85" s="132">
        <v>434503.4</v>
      </c>
      <c r="G85" s="34">
        <f>+[3]!Tabla1[[#This Row],[CRÉDITO]]-[3]!Tabla1[[#This Row],[DÉBITO]]</f>
        <v>0</v>
      </c>
      <c r="H85" s="129">
        <v>46146</v>
      </c>
      <c r="I85" s="128"/>
    </row>
    <row r="86" spans="1:9" ht="12.75" thickBot="1" x14ac:dyDescent="0.3">
      <c r="A86" s="32">
        <v>46129</v>
      </c>
      <c r="B86" s="32">
        <v>46142</v>
      </c>
      <c r="C86" s="33" t="str">
        <f t="shared" si="1"/>
        <v>ABRIL</v>
      </c>
      <c r="D86" s="127" t="s">
        <v>290</v>
      </c>
      <c r="E86" s="132">
        <v>1882552.5</v>
      </c>
      <c r="F86" s="132">
        <v>1882552.5</v>
      </c>
      <c r="G86" s="34">
        <f>+[3]!Tabla1[[#This Row],[CRÉDITO]]-[3]!Tabla1[[#This Row],[DÉBITO]]</f>
        <v>0</v>
      </c>
      <c r="H86" s="129">
        <v>46146</v>
      </c>
      <c r="I86" s="128"/>
    </row>
    <row r="87" spans="1:9" ht="12.75" thickBot="1" x14ac:dyDescent="0.3">
      <c r="A87" s="32">
        <v>46129</v>
      </c>
      <c r="B87" s="32">
        <v>46142</v>
      </c>
      <c r="C87" s="33" t="str">
        <f t="shared" si="1"/>
        <v>ABRIL</v>
      </c>
      <c r="D87" s="127" t="s">
        <v>290</v>
      </c>
      <c r="E87" s="132">
        <v>15757307.25</v>
      </c>
      <c r="F87" s="132">
        <v>15757307.25</v>
      </c>
      <c r="G87" s="34">
        <f>+[3]!Tabla1[[#This Row],[CRÉDITO]]-[3]!Tabla1[[#This Row],[DÉBITO]]</f>
        <v>0</v>
      </c>
      <c r="H87" s="129">
        <v>46146</v>
      </c>
      <c r="I87" s="128"/>
    </row>
    <row r="88" spans="1:9" ht="12.75" thickBot="1" x14ac:dyDescent="0.3">
      <c r="A88" s="32">
        <v>46129</v>
      </c>
      <c r="B88" s="32">
        <v>46142</v>
      </c>
      <c r="C88" s="33" t="str">
        <f t="shared" si="1"/>
        <v>ABRIL</v>
      </c>
      <c r="D88" s="127" t="s">
        <v>293</v>
      </c>
      <c r="E88" s="132">
        <v>1191762.53</v>
      </c>
      <c r="F88" s="132">
        <v>1191762.53</v>
      </c>
      <c r="G88" s="34">
        <f>+[3]!Tabla1[[#This Row],[CRÉDITO]]-[3]!Tabla1[[#This Row],[DÉBITO]]</f>
        <v>0</v>
      </c>
      <c r="H88" s="129">
        <v>46146</v>
      </c>
      <c r="I88" s="128"/>
    </row>
    <row r="89" spans="1:9" ht="12.75" thickBot="1" x14ac:dyDescent="0.3">
      <c r="A89" s="32">
        <v>46129</v>
      </c>
      <c r="B89" s="32">
        <v>46148</v>
      </c>
      <c r="C89" s="33" t="str">
        <f t="shared" si="1"/>
        <v>MAYO</v>
      </c>
      <c r="D89" s="127" t="s">
        <v>284</v>
      </c>
      <c r="E89" s="132">
        <v>523914.33</v>
      </c>
      <c r="F89" s="132">
        <v>523914.33</v>
      </c>
      <c r="G89" s="34">
        <f>+[3]!Tabla1[[#This Row],[CRÉDITO]]-[3]!Tabla1[[#This Row],[DÉBITO]]</f>
        <v>0</v>
      </c>
      <c r="H89" s="129">
        <v>46149</v>
      </c>
      <c r="I89" s="128"/>
    </row>
    <row r="90" spans="1:9" ht="12.75" thickBot="1" x14ac:dyDescent="0.3">
      <c r="A90" s="32">
        <v>46129</v>
      </c>
      <c r="B90" s="32">
        <v>46157</v>
      </c>
      <c r="C90" s="33" t="str">
        <f t="shared" si="1"/>
        <v>MAYO</v>
      </c>
      <c r="D90" s="127" t="s">
        <v>296</v>
      </c>
      <c r="E90" s="132">
        <v>1607453.45</v>
      </c>
      <c r="F90" s="132">
        <v>1607453.45</v>
      </c>
      <c r="G90" s="34">
        <f>+[3]!Tabla1[[#This Row],[CRÉDITO]]-[3]!Tabla1[[#This Row],[DÉBITO]]</f>
        <v>0</v>
      </c>
      <c r="H90" s="129">
        <v>46160</v>
      </c>
      <c r="I90" s="128"/>
    </row>
    <row r="91" spans="1:9" ht="12.75" thickBot="1" x14ac:dyDescent="0.3">
      <c r="A91" s="32">
        <v>46129</v>
      </c>
      <c r="B91" s="32">
        <v>46157</v>
      </c>
      <c r="C91" s="33" t="str">
        <f t="shared" si="1"/>
        <v>MAYO</v>
      </c>
      <c r="D91" s="127" t="s">
        <v>291</v>
      </c>
      <c r="E91" s="132">
        <v>6843072.2800000003</v>
      </c>
      <c r="F91" s="132">
        <v>6843072.2800000003</v>
      </c>
      <c r="G91" s="34">
        <f>+[3]!Tabla1[[#This Row],[CRÉDITO]]-[3]!Tabla1[[#This Row],[DÉBITO]]</f>
        <v>0</v>
      </c>
      <c r="H91" s="129">
        <v>46160</v>
      </c>
      <c r="I91" s="128"/>
    </row>
    <row r="92" spans="1:9" ht="12.75" thickBot="1" x14ac:dyDescent="0.3">
      <c r="A92" s="32">
        <v>46129</v>
      </c>
      <c r="B92" s="32">
        <v>46153</v>
      </c>
      <c r="C92" s="33" t="str">
        <f t="shared" si="1"/>
        <v>MAYO</v>
      </c>
      <c r="D92" s="127" t="s">
        <v>287</v>
      </c>
      <c r="E92" s="132">
        <v>5980111.3200000003</v>
      </c>
      <c r="F92" s="132">
        <v>5980111.3200000003</v>
      </c>
      <c r="G92" s="34">
        <f>+[3]!Tabla1[[#This Row],[CRÉDITO]]-[3]!Tabla1[[#This Row],[DÉBITO]]</f>
        <v>0</v>
      </c>
      <c r="H92" s="129">
        <v>46154</v>
      </c>
      <c r="I92" s="128"/>
    </row>
    <row r="93" spans="1:9" ht="12.75" thickBot="1" x14ac:dyDescent="0.3">
      <c r="A93" s="32">
        <v>46129</v>
      </c>
      <c r="B93" s="32">
        <v>46157</v>
      </c>
      <c r="C93" s="33" t="str">
        <f t="shared" si="1"/>
        <v>MAYO</v>
      </c>
      <c r="D93" s="127" t="s">
        <v>286</v>
      </c>
      <c r="E93" s="132">
        <v>1721062.77</v>
      </c>
      <c r="F93" s="132">
        <v>1721062.77</v>
      </c>
      <c r="G93" s="34">
        <f>+[3]!Tabla1[[#This Row],[CRÉDITO]]-[3]!Tabla1[[#This Row],[DÉBITO]]</f>
        <v>0</v>
      </c>
      <c r="H93" s="129">
        <v>46170</v>
      </c>
      <c r="I93" s="128"/>
    </row>
    <row r="94" spans="1:9" ht="12.75" thickBot="1" x14ac:dyDescent="0.3">
      <c r="A94" s="32">
        <v>46129</v>
      </c>
      <c r="B94" s="32">
        <v>46157</v>
      </c>
      <c r="C94" s="33" t="str">
        <f t="shared" si="1"/>
        <v>MAYO</v>
      </c>
      <c r="D94" s="127" t="s">
        <v>295</v>
      </c>
      <c r="E94" s="132">
        <v>10009955.859999999</v>
      </c>
      <c r="F94" s="132">
        <v>10009955.859999999</v>
      </c>
      <c r="G94" s="34">
        <f>+[3]!Tabla1[[#This Row],[CRÉDITO]]-[3]!Tabla1[[#This Row],[DÉBITO]]</f>
        <v>0</v>
      </c>
      <c r="H94" s="129">
        <v>46160</v>
      </c>
      <c r="I94" s="128"/>
    </row>
    <row r="95" spans="1:9" ht="12.75" thickBot="1" x14ac:dyDescent="0.3">
      <c r="A95" s="32">
        <v>46141</v>
      </c>
      <c r="B95" s="32">
        <v>46149</v>
      </c>
      <c r="C95" s="33" t="str">
        <f t="shared" si="1"/>
        <v>MAYO</v>
      </c>
      <c r="D95" s="127" t="s">
        <v>301</v>
      </c>
      <c r="E95" s="132">
        <v>19814536.5</v>
      </c>
      <c r="F95" s="132">
        <v>19814536.5</v>
      </c>
      <c r="G95" s="34">
        <f>+[3]!Tabla1[[#This Row],[CRÉDITO]]-[3]!Tabla1[[#This Row],[DÉBITO]]</f>
        <v>0</v>
      </c>
      <c r="H95" s="129">
        <v>46160</v>
      </c>
      <c r="I95" s="128"/>
    </row>
    <row r="96" spans="1:9" ht="12.75" thickBot="1" x14ac:dyDescent="0.3">
      <c r="A96" s="32">
        <v>46141</v>
      </c>
      <c r="B96" s="32">
        <v>46149</v>
      </c>
      <c r="C96" s="33" t="str">
        <f t="shared" si="1"/>
        <v>MAYO</v>
      </c>
      <c r="D96" s="127" t="s">
        <v>301</v>
      </c>
      <c r="E96" s="132">
        <v>94791.39</v>
      </c>
      <c r="F96" s="132">
        <v>94791.39</v>
      </c>
      <c r="G96" s="34">
        <f>+[3]!Tabla1[[#This Row],[CRÉDITO]]-[3]!Tabla1[[#This Row],[DÉBITO]]</f>
        <v>0</v>
      </c>
      <c r="H96" s="129">
        <v>46160</v>
      </c>
      <c r="I96" s="128"/>
    </row>
    <row r="97" spans="1:9" ht="12.75" thickBot="1" x14ac:dyDescent="0.3">
      <c r="A97" s="32">
        <v>46157</v>
      </c>
      <c r="B97" s="32">
        <v>46177</v>
      </c>
      <c r="C97" s="33" t="str">
        <f t="shared" si="1"/>
        <v>JUNIO</v>
      </c>
      <c r="D97" s="127" t="s">
        <v>356</v>
      </c>
      <c r="E97" s="132">
        <v>2009265.76</v>
      </c>
      <c r="F97" s="132">
        <v>2009265.76</v>
      </c>
      <c r="G97" s="34">
        <f>+[3]!Tabla1[[#This Row],[CRÉDITO]]-[3]!Tabla1[[#This Row],[DÉBITO]]</f>
        <v>0</v>
      </c>
      <c r="H97" s="129">
        <v>46178</v>
      </c>
      <c r="I97" s="128"/>
    </row>
    <row r="98" spans="1:9" ht="12.75" thickBot="1" x14ac:dyDescent="0.3">
      <c r="A98" s="32">
        <v>46157</v>
      </c>
      <c r="B98" s="32">
        <v>46163</v>
      </c>
      <c r="C98" s="33" t="str">
        <f t="shared" si="1"/>
        <v>MAYO</v>
      </c>
      <c r="D98" s="127" t="s">
        <v>356</v>
      </c>
      <c r="E98" s="132">
        <v>6407668.0899999999</v>
      </c>
      <c r="F98" s="132">
        <v>6407668.0899999999</v>
      </c>
      <c r="G98" s="34">
        <f>+[3]!Tabla1[[#This Row],[CRÉDITO]]-[3]!Tabla1[[#This Row],[DÉBITO]]</f>
        <v>0</v>
      </c>
      <c r="H98" s="129">
        <v>46164</v>
      </c>
      <c r="I98" s="128"/>
    </row>
    <row r="99" spans="1:9" ht="12.75" thickBot="1" x14ac:dyDescent="0.3">
      <c r="A99" s="32">
        <v>46161</v>
      </c>
      <c r="B99" s="32">
        <v>46167</v>
      </c>
      <c r="C99" s="33" t="str">
        <f t="shared" si="1"/>
        <v>MAYO</v>
      </c>
      <c r="D99" s="127" t="s">
        <v>283</v>
      </c>
      <c r="E99" s="132">
        <v>507440.92</v>
      </c>
      <c r="F99" s="132">
        <v>507440.92</v>
      </c>
      <c r="G99" s="34">
        <f>+[3]!Tabla1[[#This Row],[CRÉDITO]]-[3]!Tabla1[[#This Row],[DÉBITO]]</f>
        <v>0</v>
      </c>
      <c r="H99" s="129">
        <v>46174</v>
      </c>
      <c r="I99" s="128"/>
    </row>
    <row r="100" spans="1:9" ht="12.75" thickBot="1" x14ac:dyDescent="0.3">
      <c r="A100" s="32">
        <v>46161</v>
      </c>
      <c r="B100" s="32">
        <v>46171</v>
      </c>
      <c r="C100" s="33" t="str">
        <f t="shared" si="1"/>
        <v>MAYO</v>
      </c>
      <c r="D100" s="127" t="s">
        <v>298</v>
      </c>
      <c r="E100" s="132">
        <v>1977200.13</v>
      </c>
      <c r="F100" s="132">
        <v>1977200.13</v>
      </c>
      <c r="G100" s="34">
        <f>+[3]!Tabla1[[#This Row],[CRÉDITO]]-[3]!Tabla1[[#This Row],[DÉBITO]]</f>
        <v>0</v>
      </c>
      <c r="H100" s="129">
        <v>46174</v>
      </c>
      <c r="I100" s="128"/>
    </row>
    <row r="101" spans="1:9" ht="12.75" thickBot="1" x14ac:dyDescent="0.3">
      <c r="A101" s="32">
        <v>46161</v>
      </c>
      <c r="B101" s="32">
        <v>46171</v>
      </c>
      <c r="C101" s="33" t="str">
        <f t="shared" si="1"/>
        <v>MAYO</v>
      </c>
      <c r="D101" s="127" t="s">
        <v>297</v>
      </c>
      <c r="E101" s="132">
        <v>1718941.69</v>
      </c>
      <c r="F101" s="132">
        <v>1718941.69</v>
      </c>
      <c r="G101" s="34">
        <f>+[3]!Tabla1[[#This Row],[CRÉDITO]]-[3]!Tabla1[[#This Row],[DÉBITO]]</f>
        <v>0</v>
      </c>
      <c r="H101" s="129">
        <v>46181</v>
      </c>
      <c r="I101" s="128"/>
    </row>
    <row r="102" spans="1:9" ht="12.75" thickBot="1" x14ac:dyDescent="0.3">
      <c r="A102" s="32">
        <v>46161</v>
      </c>
      <c r="B102" s="32">
        <v>46171</v>
      </c>
      <c r="C102" s="33" t="str">
        <f t="shared" si="1"/>
        <v>MAYO</v>
      </c>
      <c r="D102" s="127" t="s">
        <v>292</v>
      </c>
      <c r="E102" s="132">
        <v>433160</v>
      </c>
      <c r="F102" s="132">
        <v>433160</v>
      </c>
      <c r="G102" s="34">
        <f>+[3]!Tabla1[[#This Row],[CRÉDITO]]-[3]!Tabla1[[#This Row],[DÉBITO]]</f>
        <v>0</v>
      </c>
      <c r="H102" s="129">
        <v>46174</v>
      </c>
      <c r="I102" s="128"/>
    </row>
    <row r="103" spans="1:9" ht="12.75" thickBot="1" x14ac:dyDescent="0.3">
      <c r="A103" s="32">
        <v>46161</v>
      </c>
      <c r="B103" s="32">
        <v>46178</v>
      </c>
      <c r="C103" s="33" t="str">
        <f t="shared" si="1"/>
        <v>JUNIO</v>
      </c>
      <c r="D103" s="127" t="s">
        <v>291</v>
      </c>
      <c r="E103" s="132">
        <v>655843.4</v>
      </c>
      <c r="F103" s="132">
        <v>655843.4</v>
      </c>
      <c r="G103" s="34">
        <f>+[3]!Tabla1[[#This Row],[CRÉDITO]]-[3]!Tabla1[[#This Row],[DÉBITO]]</f>
        <v>0</v>
      </c>
      <c r="H103" s="129">
        <v>46181</v>
      </c>
      <c r="I103" s="128"/>
    </row>
    <row r="104" spans="1:9" ht="12.75" thickBot="1" x14ac:dyDescent="0.3">
      <c r="A104" s="32">
        <v>46161</v>
      </c>
      <c r="B104" s="32">
        <v>46178</v>
      </c>
      <c r="C104" s="33" t="str">
        <f t="shared" si="1"/>
        <v>JUNIO</v>
      </c>
      <c r="D104" s="127" t="s">
        <v>286</v>
      </c>
      <c r="E104" s="132">
        <v>1602326.87</v>
      </c>
      <c r="F104" s="132">
        <v>1602326.87</v>
      </c>
      <c r="G104" s="34">
        <f>+[3]!Tabla1[[#This Row],[CRÉDITO]]-[3]!Tabla1[[#This Row],[DÉBITO]]</f>
        <v>0</v>
      </c>
      <c r="H104" s="129">
        <v>46192</v>
      </c>
      <c r="I104" s="128"/>
    </row>
    <row r="105" spans="1:9" ht="12.75" thickBot="1" x14ac:dyDescent="0.3">
      <c r="A105" s="32">
        <v>46161</v>
      </c>
      <c r="B105" s="32">
        <v>46178</v>
      </c>
      <c r="C105" s="33" t="str">
        <f t="shared" si="1"/>
        <v>JUNIO</v>
      </c>
      <c r="D105" s="127" t="s">
        <v>285</v>
      </c>
      <c r="E105" s="132">
        <v>575833.4</v>
      </c>
      <c r="F105" s="132">
        <v>575833.4</v>
      </c>
      <c r="G105" s="34">
        <f>+[3]!Tabla1[[#This Row],[CRÉDITO]]-[3]!Tabla1[[#This Row],[DÉBITO]]</f>
        <v>0</v>
      </c>
      <c r="H105" s="129">
        <v>46181</v>
      </c>
      <c r="I105" s="128"/>
    </row>
    <row r="106" spans="1:9" ht="12.75" thickBot="1" x14ac:dyDescent="0.3">
      <c r="A106" s="32">
        <v>46161</v>
      </c>
      <c r="B106" s="32">
        <v>46172</v>
      </c>
      <c r="C106" s="33" t="str">
        <f t="shared" si="1"/>
        <v>MAYO</v>
      </c>
      <c r="D106" s="127" t="s">
        <v>290</v>
      </c>
      <c r="E106" s="132">
        <v>15757307.25</v>
      </c>
      <c r="F106" s="132">
        <v>15757307.25</v>
      </c>
      <c r="G106" s="34">
        <f>+[3]!Tabla1[[#This Row],[CRÉDITO]]-[3]!Tabla1[[#This Row],[DÉBITO]]</f>
        <v>0</v>
      </c>
      <c r="H106" s="129">
        <v>46175</v>
      </c>
      <c r="I106" s="128"/>
    </row>
    <row r="107" spans="1:9" ht="12.75" thickBot="1" x14ac:dyDescent="0.3">
      <c r="A107" s="32">
        <v>46161</v>
      </c>
      <c r="B107" s="32">
        <v>46191</v>
      </c>
      <c r="C107" s="33" t="str">
        <f t="shared" si="1"/>
        <v>JUNIO</v>
      </c>
      <c r="D107" s="127" t="s">
        <v>294</v>
      </c>
      <c r="E107" s="132">
        <v>4179128.92</v>
      </c>
      <c r="F107" s="132">
        <v>4179128.92</v>
      </c>
      <c r="G107" s="34">
        <f>+[3]!Tabla1[[#This Row],[CRÉDITO]]-[3]!Tabla1[[#This Row],[DÉBITO]]</f>
        <v>0</v>
      </c>
      <c r="H107" s="129">
        <v>46192</v>
      </c>
      <c r="I107" s="128"/>
    </row>
    <row r="108" spans="1:9" ht="12.75" thickBot="1" x14ac:dyDescent="0.3">
      <c r="A108" s="32">
        <v>46161</v>
      </c>
      <c r="B108" s="32">
        <v>46178</v>
      </c>
      <c r="C108" s="33" t="str">
        <f t="shared" si="1"/>
        <v>JUNIO</v>
      </c>
      <c r="D108" s="127" t="s">
        <v>289</v>
      </c>
      <c r="E108" s="132">
        <v>1611124.3</v>
      </c>
      <c r="F108" s="132">
        <v>1611124.3</v>
      </c>
      <c r="G108" s="34">
        <f>+[3]!Tabla1[[#This Row],[CRÉDITO]]-[3]!Tabla1[[#This Row],[DÉBITO]]</f>
        <v>0</v>
      </c>
      <c r="H108" s="129">
        <v>46182</v>
      </c>
      <c r="I108" s="128"/>
    </row>
    <row r="109" spans="1:9" ht="12.75" thickBot="1" x14ac:dyDescent="0.3">
      <c r="A109" s="32">
        <v>46161</v>
      </c>
      <c r="B109" s="32">
        <v>46178</v>
      </c>
      <c r="C109" s="33" t="str">
        <f t="shared" si="1"/>
        <v>JUNIO</v>
      </c>
      <c r="D109" s="127" t="s">
        <v>293</v>
      </c>
      <c r="E109" s="132">
        <v>1191762.53</v>
      </c>
      <c r="F109" s="132">
        <v>1191762.53</v>
      </c>
      <c r="G109" s="34">
        <f>+[3]!Tabla1[[#This Row],[CRÉDITO]]-[3]!Tabla1[[#This Row],[DÉBITO]]</f>
        <v>0</v>
      </c>
      <c r="H109" s="129">
        <v>46181</v>
      </c>
      <c r="I109" s="128"/>
    </row>
    <row r="110" spans="1:9" ht="12.75" thickBot="1" x14ac:dyDescent="0.3">
      <c r="A110" s="32">
        <v>46161</v>
      </c>
      <c r="B110" s="32">
        <v>46191</v>
      </c>
      <c r="C110" s="33" t="str">
        <f t="shared" si="1"/>
        <v>JUNIO</v>
      </c>
      <c r="D110" s="127" t="s">
        <v>291</v>
      </c>
      <c r="E110" s="132">
        <v>234092.44</v>
      </c>
      <c r="F110" s="132">
        <v>234092.44</v>
      </c>
      <c r="G110" s="34">
        <f>+[3]!Tabla1[[#This Row],[CRÉDITO]]-[3]!Tabla1[[#This Row],[DÉBITO]]</f>
        <v>0</v>
      </c>
      <c r="H110" s="129">
        <v>46192</v>
      </c>
      <c r="I110" s="128"/>
    </row>
    <row r="111" spans="1:9" ht="12.75" thickBot="1" x14ac:dyDescent="0.3">
      <c r="A111" s="32">
        <v>46161</v>
      </c>
      <c r="B111" s="32">
        <v>46191</v>
      </c>
      <c r="C111" s="33" t="str">
        <f t="shared" si="1"/>
        <v>JUNIO</v>
      </c>
      <c r="D111" s="127" t="s">
        <v>295</v>
      </c>
      <c r="E111" s="132">
        <v>7094317.0899999999</v>
      </c>
      <c r="F111" s="132">
        <v>7094317.0899999999</v>
      </c>
      <c r="G111" s="34">
        <f>+[3]!Tabla1[[#This Row],[CRÉDITO]]-[3]!Tabla1[[#This Row],[DÉBITO]]</f>
        <v>0</v>
      </c>
      <c r="H111" s="129">
        <v>46192</v>
      </c>
      <c r="I111" s="128"/>
    </row>
    <row r="112" spans="1:9" ht="12.75" thickBot="1" x14ac:dyDescent="0.3">
      <c r="A112" s="32">
        <v>46161</v>
      </c>
      <c r="B112" s="32">
        <v>46191</v>
      </c>
      <c r="C112" s="33" t="str">
        <f t="shared" si="1"/>
        <v>JUNIO</v>
      </c>
      <c r="D112" s="127" t="s">
        <v>296</v>
      </c>
      <c r="E112" s="132">
        <v>1134341.95</v>
      </c>
      <c r="F112" s="132">
        <v>1134341.95</v>
      </c>
      <c r="G112" s="34">
        <f>+[3]!Tabla1[[#This Row],[CRÉDITO]]-[3]!Tabla1[[#This Row],[DÉBITO]]</f>
        <v>0</v>
      </c>
      <c r="H112" s="129">
        <v>46192</v>
      </c>
      <c r="I112" s="128"/>
    </row>
    <row r="113" spans="1:9" ht="12.75" thickBot="1" x14ac:dyDescent="0.3">
      <c r="A113" s="32">
        <v>46174</v>
      </c>
      <c r="B113" s="32">
        <v>46174</v>
      </c>
      <c r="C113" s="33" t="str">
        <f t="shared" si="1"/>
        <v>JUNIO</v>
      </c>
      <c r="D113" s="127" t="s">
        <v>686</v>
      </c>
      <c r="E113" s="132">
        <v>24513043.960000001</v>
      </c>
      <c r="F113" s="132">
        <v>24513043.960000001</v>
      </c>
      <c r="G113" s="34">
        <f>+[3]!Tabla1[[#This Row],[CRÉDITO]]-[3]!Tabla1[[#This Row],[DÉBITO]]</f>
        <v>0</v>
      </c>
      <c r="H113" s="129">
        <v>46175</v>
      </c>
      <c r="I113" s="128"/>
    </row>
    <row r="114" spans="1:9" ht="12.75" thickBot="1" x14ac:dyDescent="0.3">
      <c r="A114" s="32">
        <v>46182</v>
      </c>
      <c r="B114" s="32">
        <v>46192</v>
      </c>
      <c r="C114" s="33" t="str">
        <f t="shared" si="1"/>
        <v>JUNIO</v>
      </c>
      <c r="D114" s="127" t="s">
        <v>291</v>
      </c>
      <c r="E114" s="132">
        <v>2536043.4</v>
      </c>
      <c r="F114" s="132">
        <v>2536043.4</v>
      </c>
      <c r="G114" s="34">
        <f>+[3]!Tabla1[[#This Row],[CRÉDITO]]-[3]!Tabla1[[#This Row],[DÉBITO]]</f>
        <v>0</v>
      </c>
      <c r="H114" s="129">
        <v>46195</v>
      </c>
      <c r="I114" s="128"/>
    </row>
    <row r="115" spans="1:9" ht="12.75" thickBot="1" x14ac:dyDescent="0.3">
      <c r="A115" s="32">
        <v>46182</v>
      </c>
      <c r="B115" s="32">
        <v>46192</v>
      </c>
      <c r="C115" s="33" t="str">
        <f t="shared" si="1"/>
        <v>JUNIO</v>
      </c>
      <c r="D115" s="127" t="s">
        <v>284</v>
      </c>
      <c r="E115" s="132">
        <v>568694.82999999996</v>
      </c>
      <c r="F115" s="132">
        <v>568694.82999999996</v>
      </c>
      <c r="G115" s="34">
        <f>+[3]!Tabla1[[#This Row],[CRÉDITO]]-[3]!Tabla1[[#This Row],[DÉBITO]]</f>
        <v>0</v>
      </c>
      <c r="H115" s="129">
        <v>46195</v>
      </c>
      <c r="I115" s="128"/>
    </row>
    <row r="116" spans="1:9" ht="12.75" thickBot="1" x14ac:dyDescent="0.3">
      <c r="A116" s="32">
        <v>46182</v>
      </c>
      <c r="B116" s="32">
        <v>46192</v>
      </c>
      <c r="C116" s="33" t="str">
        <f t="shared" si="1"/>
        <v>JUNIO</v>
      </c>
      <c r="D116" s="127" t="s">
        <v>285</v>
      </c>
      <c r="E116" s="132">
        <v>581923.4</v>
      </c>
      <c r="F116" s="132">
        <v>581923.4</v>
      </c>
      <c r="G116" s="34">
        <f>+[3]!Tabla1[[#This Row],[CRÉDITO]]-[3]!Tabla1[[#This Row],[DÉBITO]]</f>
        <v>0</v>
      </c>
      <c r="H116" s="129">
        <v>46195</v>
      </c>
      <c r="I116" s="128"/>
    </row>
    <row r="117" spans="1:9" ht="12.75" thickBot="1" x14ac:dyDescent="0.3">
      <c r="A117" s="32">
        <v>46182</v>
      </c>
      <c r="B117" s="32">
        <v>46199</v>
      </c>
      <c r="C117" s="33" t="str">
        <f t="shared" si="1"/>
        <v>JUNIO</v>
      </c>
      <c r="D117" s="127" t="s">
        <v>299</v>
      </c>
      <c r="E117" s="132">
        <v>71100</v>
      </c>
      <c r="F117" s="132">
        <v>71100</v>
      </c>
      <c r="G117" s="34">
        <f>+[3]!Tabla1[[#This Row],[CRÉDITO]]-[3]!Tabla1[[#This Row],[DÉBITO]]</f>
        <v>0</v>
      </c>
      <c r="H117" s="129">
        <v>46202</v>
      </c>
      <c r="I117" s="128"/>
    </row>
    <row r="118" spans="1:9" ht="12.75" thickBot="1" x14ac:dyDescent="0.3">
      <c r="A118" s="32">
        <v>46182</v>
      </c>
      <c r="B118" s="32">
        <v>46199</v>
      </c>
      <c r="C118" s="33" t="str">
        <f t="shared" si="1"/>
        <v>JUNIO</v>
      </c>
      <c r="D118" s="127" t="s">
        <v>297</v>
      </c>
      <c r="E118" s="132">
        <v>12110.27</v>
      </c>
      <c r="F118" s="132">
        <v>12110.27</v>
      </c>
      <c r="G118" s="34">
        <f>+[3]!Tabla1[[#This Row],[CRÉDITO]]-[3]!Tabla1[[#This Row],[DÉBITO]]</f>
        <v>0</v>
      </c>
      <c r="H118" s="129">
        <v>46202</v>
      </c>
      <c r="I118" s="128"/>
    </row>
    <row r="119" spans="1:9" ht="12.75" thickBot="1" x14ac:dyDescent="0.3">
      <c r="A119" s="32">
        <v>46182</v>
      </c>
      <c r="B119" s="32">
        <v>46199</v>
      </c>
      <c r="C119" s="33" t="str">
        <f t="shared" si="1"/>
        <v>JUNIO</v>
      </c>
      <c r="D119" s="127" t="s">
        <v>289</v>
      </c>
      <c r="E119" s="132">
        <v>1706987.25</v>
      </c>
      <c r="F119" s="132">
        <v>1706987.25</v>
      </c>
      <c r="G119" s="34">
        <f>+[3]!Tabla1[[#This Row],[CRÉDITO]]-[3]!Tabla1[[#This Row],[DÉBITO]]</f>
        <v>0</v>
      </c>
      <c r="H119" s="129">
        <v>46203</v>
      </c>
      <c r="I119" s="128"/>
    </row>
    <row r="120" spans="1:9" ht="12.75" thickBot="1" x14ac:dyDescent="0.3">
      <c r="A120" s="32">
        <v>46182</v>
      </c>
      <c r="B120" s="32">
        <v>46184</v>
      </c>
      <c r="C120" s="33" t="str">
        <f t="shared" si="1"/>
        <v>JUNIO</v>
      </c>
      <c r="D120" s="127" t="s">
        <v>290</v>
      </c>
      <c r="E120" s="132">
        <v>15757307.25</v>
      </c>
      <c r="F120" s="132">
        <v>15757307.25</v>
      </c>
      <c r="G120" s="34">
        <f>+[3]!Tabla1[[#This Row],[CRÉDITO]]-[3]!Tabla1[[#This Row],[DÉBITO]]</f>
        <v>0</v>
      </c>
      <c r="H120" s="129">
        <v>46185</v>
      </c>
      <c r="I120" s="128"/>
    </row>
    <row r="121" spans="1:9" ht="12.75" thickBot="1" x14ac:dyDescent="0.3">
      <c r="A121" s="32">
        <v>46182</v>
      </c>
      <c r="B121" s="32">
        <v>46203</v>
      </c>
      <c r="C121" s="33" t="str">
        <f t="shared" si="1"/>
        <v>JUNIO</v>
      </c>
      <c r="D121" s="127" t="s">
        <v>297</v>
      </c>
      <c r="E121" s="132">
        <v>1406884.89</v>
      </c>
      <c r="F121" s="132">
        <v>1406884.89</v>
      </c>
      <c r="G121" s="34">
        <f>+[3]!Tabla1[[#This Row],[CRÉDITO]]-[3]!Tabla1[[#This Row],[DÉBITO]]</f>
        <v>0</v>
      </c>
      <c r="H121" s="129">
        <v>46203</v>
      </c>
      <c r="I121" s="128"/>
    </row>
    <row r="122" spans="1:9" ht="12.75" thickBot="1" x14ac:dyDescent="0.3">
      <c r="A122" s="32">
        <v>46182</v>
      </c>
      <c r="B122" s="32">
        <v>46203</v>
      </c>
      <c r="C122" s="33" t="str">
        <f t="shared" si="1"/>
        <v>JUNIO</v>
      </c>
      <c r="D122" s="127" t="s">
        <v>293</v>
      </c>
      <c r="E122" s="132">
        <v>1256045.18</v>
      </c>
      <c r="F122" s="132">
        <v>1256045.18</v>
      </c>
      <c r="G122" s="34">
        <f>+[3]!Tabla1[[#This Row],[CRÉDITO]]-[3]!Tabla1[[#This Row],[DÉBITO]]</f>
        <v>0</v>
      </c>
      <c r="H122" s="129">
        <v>46204</v>
      </c>
      <c r="I122" s="128"/>
    </row>
    <row r="123" spans="1:9" ht="12.75" thickBot="1" x14ac:dyDescent="0.3">
      <c r="A123" s="32">
        <v>46182</v>
      </c>
      <c r="B123" s="32">
        <v>46213</v>
      </c>
      <c r="C123" s="33" t="str">
        <f t="shared" si="1"/>
        <v>JULIO</v>
      </c>
      <c r="D123" s="127" t="s">
        <v>294</v>
      </c>
      <c r="E123" s="131"/>
      <c r="F123" s="132">
        <v>4931832.95</v>
      </c>
      <c r="G123" s="34">
        <f>+[3]!Tabla1[[#This Row],[CRÉDITO]]-[3]!Tabla1[[#This Row],[DÉBITO]]</f>
        <v>0</v>
      </c>
      <c r="H123" s="129"/>
      <c r="I123" s="128"/>
    </row>
    <row r="124" spans="1:9" ht="12.75" thickBot="1" x14ac:dyDescent="0.3">
      <c r="A124" s="32">
        <v>46182</v>
      </c>
      <c r="B124" s="32">
        <v>46213</v>
      </c>
      <c r="C124" s="33" t="str">
        <f t="shared" si="1"/>
        <v>JULIO</v>
      </c>
      <c r="D124" s="127" t="s">
        <v>286</v>
      </c>
      <c r="E124" s="131"/>
      <c r="F124" s="132">
        <v>1842659.56</v>
      </c>
      <c r="G124" s="34">
        <f>+[3]!Tabla1[[#This Row],[CRÉDITO]]-[3]!Tabla1[[#This Row],[DÉBITO]]</f>
        <v>0</v>
      </c>
      <c r="H124" s="129"/>
      <c r="I124" s="128"/>
    </row>
    <row r="125" spans="1:9" ht="12.75" thickBot="1" x14ac:dyDescent="0.3">
      <c r="A125" s="32">
        <v>46182</v>
      </c>
      <c r="B125" s="32">
        <v>46213</v>
      </c>
      <c r="C125" s="33" t="str">
        <f t="shared" si="1"/>
        <v>JULIO</v>
      </c>
      <c r="D125" s="127" t="s">
        <v>295</v>
      </c>
      <c r="E125" s="131"/>
      <c r="F125" s="132">
        <v>7379884.0499999998</v>
      </c>
      <c r="G125" s="34">
        <f>+[3]!Tabla1[[#This Row],[CRÉDITO]]-[3]!Tabla1[[#This Row],[DÉBITO]]</f>
        <v>0</v>
      </c>
      <c r="H125" s="129"/>
      <c r="I125" s="128"/>
    </row>
    <row r="126" spans="1:9" ht="12.75" thickBot="1" x14ac:dyDescent="0.3">
      <c r="A126" s="32">
        <v>46196</v>
      </c>
      <c r="B126" s="32">
        <v>46196</v>
      </c>
      <c r="C126" s="33" t="str">
        <f t="shared" si="1"/>
        <v>JUNIO</v>
      </c>
      <c r="D126" s="127" t="s">
        <v>282</v>
      </c>
      <c r="E126" s="132">
        <v>24758580</v>
      </c>
      <c r="F126" s="132">
        <v>24758580</v>
      </c>
      <c r="G126" s="34">
        <f>+[3]!Tabla1[[#This Row],[CRÉDITO]]-[3]!Tabla1[[#This Row],[DÉBITO]]</f>
        <v>0</v>
      </c>
      <c r="H126" s="129">
        <v>46197</v>
      </c>
      <c r="I126" s="128"/>
    </row>
    <row r="127" spans="1:9" ht="12.75" thickBot="1" x14ac:dyDescent="0.3">
      <c r="A127" s="32">
        <v>46196</v>
      </c>
      <c r="B127" s="32">
        <v>46196</v>
      </c>
      <c r="C127" s="33" t="str">
        <f t="shared" si="1"/>
        <v>JUNIO</v>
      </c>
      <c r="D127" s="127" t="s">
        <v>282</v>
      </c>
      <c r="E127" s="132">
        <v>31456343.399999999</v>
      </c>
      <c r="F127" s="132">
        <v>31456343.399999999</v>
      </c>
      <c r="G127" s="34">
        <f>+[3]!Tabla1[[#This Row],[CRÉDITO]]-[3]!Tabla1[[#This Row],[DÉBITO]]</f>
        <v>0</v>
      </c>
      <c r="H127" s="129">
        <v>46197</v>
      </c>
      <c r="I127" s="128"/>
    </row>
    <row r="128" spans="1:9" ht="12.75" thickBot="1" x14ac:dyDescent="0.3">
      <c r="A128" s="32">
        <v>46196</v>
      </c>
      <c r="B128" s="32">
        <v>46196</v>
      </c>
      <c r="C128" s="33" t="str">
        <f t="shared" si="1"/>
        <v>JUNIO</v>
      </c>
      <c r="D128" s="127" t="s">
        <v>282</v>
      </c>
      <c r="E128" s="132">
        <v>27727000</v>
      </c>
      <c r="F128" s="132">
        <v>27727000</v>
      </c>
      <c r="G128" s="34">
        <f>+[3]!Tabla1[[#This Row],[CRÉDITO]]-[3]!Tabla1[[#This Row],[DÉBITO]]</f>
        <v>4931832.95</v>
      </c>
      <c r="H128" s="129">
        <v>46197</v>
      </c>
      <c r="I128" s="128"/>
    </row>
    <row r="129" spans="1:9" ht="12.75" thickBot="1" x14ac:dyDescent="0.3">
      <c r="A129" s="32">
        <v>46196</v>
      </c>
      <c r="B129" s="32">
        <v>46196</v>
      </c>
      <c r="C129" s="33" t="str">
        <f t="shared" si="1"/>
        <v>JUNIO</v>
      </c>
      <c r="D129" s="127" t="s">
        <v>282</v>
      </c>
      <c r="E129" s="132">
        <v>25477500</v>
      </c>
      <c r="F129" s="132">
        <v>25477500</v>
      </c>
      <c r="G129" s="34">
        <f>+[3]!Tabla1[[#This Row],[CRÉDITO]]-[3]!Tabla1[[#This Row],[DÉBITO]]</f>
        <v>1842659.56</v>
      </c>
      <c r="H129" s="129">
        <v>46197</v>
      </c>
      <c r="I129" s="128"/>
    </row>
    <row r="130" spans="1:9" ht="12.75" thickBot="1" x14ac:dyDescent="0.3">
      <c r="A130" s="32">
        <v>46196</v>
      </c>
      <c r="B130" s="32">
        <v>46196</v>
      </c>
      <c r="C130" s="33" t="str">
        <f t="shared" ref="C130:C138" si="2">UPPER(IF(B130="","",TEXT(B130,"MMMM")))</f>
        <v>JUNIO</v>
      </c>
      <c r="D130" s="127" t="s">
        <v>282</v>
      </c>
      <c r="E130" s="132">
        <v>23067000</v>
      </c>
      <c r="F130" s="132">
        <v>23067000</v>
      </c>
      <c r="G130" s="34">
        <f>+[3]!Tabla1[[#This Row],[CRÉDITO]]-[3]!Tabla1[[#This Row],[DÉBITO]]</f>
        <v>7379884.0499999998</v>
      </c>
      <c r="H130" s="129">
        <v>46197</v>
      </c>
      <c r="I130" s="128"/>
    </row>
    <row r="131" spans="1:9" ht="12.75" thickBot="1" x14ac:dyDescent="0.3">
      <c r="A131" s="32">
        <v>46196</v>
      </c>
      <c r="B131" s="32">
        <v>46196</v>
      </c>
      <c r="C131" s="33" t="str">
        <f t="shared" si="2"/>
        <v>JUNIO</v>
      </c>
      <c r="D131" s="127" t="s">
        <v>282</v>
      </c>
      <c r="E131" s="132">
        <v>24596278.300000001</v>
      </c>
      <c r="F131" s="132">
        <v>24596278.300000001</v>
      </c>
      <c r="G131" s="34">
        <f>+[3]!Tabla1[[#This Row],[CRÉDITO]]-[3]!Tabla1[[#This Row],[DÉBITO]]</f>
        <v>0</v>
      </c>
      <c r="H131" s="129">
        <v>46197</v>
      </c>
      <c r="I131" s="128"/>
    </row>
    <row r="132" spans="1:9" ht="12.75" thickBot="1" x14ac:dyDescent="0.3">
      <c r="A132" s="32">
        <v>46198</v>
      </c>
      <c r="B132" s="32">
        <v>46213</v>
      </c>
      <c r="C132" s="33" t="str">
        <f t="shared" si="2"/>
        <v>JULIO</v>
      </c>
      <c r="D132" s="127" t="s">
        <v>298</v>
      </c>
      <c r="E132" s="131"/>
      <c r="F132" s="132">
        <v>1608948.29</v>
      </c>
      <c r="G132" s="34">
        <f>+[3]!Tabla1[[#This Row],[CRÉDITO]]-[3]!Tabla1[[#This Row],[DÉBITO]]</f>
        <v>0</v>
      </c>
      <c r="H132" s="129"/>
      <c r="I132" s="128"/>
    </row>
    <row r="133" spans="1:9" ht="12.75" thickBot="1" x14ac:dyDescent="0.3">
      <c r="A133" s="32">
        <v>46198</v>
      </c>
      <c r="B133" s="32">
        <v>46210</v>
      </c>
      <c r="C133" s="33" t="str">
        <f t="shared" si="2"/>
        <v>JULIO</v>
      </c>
      <c r="D133" s="127" t="s">
        <v>292</v>
      </c>
      <c r="E133" s="132">
        <v>433160</v>
      </c>
      <c r="F133" s="132">
        <v>433160</v>
      </c>
      <c r="G133" s="34">
        <f>+[3]!Tabla1[[#This Row],[CRÉDITO]]-[3]!Tabla1[[#This Row],[DÉBITO]]</f>
        <v>0</v>
      </c>
      <c r="H133" s="129">
        <v>46211</v>
      </c>
      <c r="I133" s="128"/>
    </row>
    <row r="134" spans="1:9" ht="12.75" thickBot="1" x14ac:dyDescent="0.3">
      <c r="A134" s="32">
        <v>46198</v>
      </c>
      <c r="B134" s="32">
        <v>46213</v>
      </c>
      <c r="C134" s="33" t="str">
        <f t="shared" si="2"/>
        <v>JULIO</v>
      </c>
      <c r="D134" s="127" t="s">
        <v>290</v>
      </c>
      <c r="E134" s="131"/>
      <c r="F134" s="132">
        <v>1987622.9</v>
      </c>
      <c r="G134" s="34">
        <f>+[3]!Tabla1[[#This Row],[CRÉDITO]]-[3]!Tabla1[[#This Row],[DÉBITO]]</f>
        <v>0</v>
      </c>
      <c r="H134" s="129"/>
      <c r="I134" s="128"/>
    </row>
    <row r="135" spans="1:9" ht="12.75" thickBot="1" x14ac:dyDescent="0.3">
      <c r="A135" s="32">
        <v>46198</v>
      </c>
      <c r="B135" s="32">
        <v>46213</v>
      </c>
      <c r="C135" s="33" t="str">
        <f t="shared" si="2"/>
        <v>JULIO</v>
      </c>
      <c r="D135" s="127" t="s">
        <v>291</v>
      </c>
      <c r="E135" s="131"/>
      <c r="F135" s="132">
        <v>2534700</v>
      </c>
      <c r="G135" s="34">
        <f>+[3]!Tabla1[[#This Row],[CRÉDITO]]-[3]!Tabla1[[#This Row],[DÉBITO]]</f>
        <v>0</v>
      </c>
      <c r="H135" s="129"/>
      <c r="I135" s="128"/>
    </row>
    <row r="136" spans="1:9" ht="12.75" thickBot="1" x14ac:dyDescent="0.3">
      <c r="A136" s="32">
        <v>46198</v>
      </c>
      <c r="B136" s="32">
        <v>46233</v>
      </c>
      <c r="C136" s="33" t="str">
        <f t="shared" si="2"/>
        <v>JULIO</v>
      </c>
      <c r="D136" s="127" t="s">
        <v>298</v>
      </c>
      <c r="E136" s="131"/>
      <c r="F136" s="132">
        <v>1319187.75</v>
      </c>
      <c r="G136" s="34">
        <f>+[3]!Tabla1[[#This Row],[CRÉDITO]]-[3]!Tabla1[[#This Row],[DÉBITO]]</f>
        <v>0</v>
      </c>
      <c r="H136" s="129"/>
      <c r="I136" s="128"/>
    </row>
    <row r="137" spans="1:9" ht="12.75" thickBot="1" x14ac:dyDescent="0.3">
      <c r="A137" s="32">
        <v>46198</v>
      </c>
      <c r="B137" s="32">
        <v>46213</v>
      </c>
      <c r="C137" s="33" t="str">
        <f t="shared" si="2"/>
        <v>JULIO</v>
      </c>
      <c r="D137" s="127" t="s">
        <v>284</v>
      </c>
      <c r="E137" s="131"/>
      <c r="F137" s="132">
        <v>499725.08</v>
      </c>
      <c r="G137" s="34">
        <f>+[3]!Tabla1[[#This Row],[CRÉDITO]]-[3]!Tabla1[[#This Row],[DÉBITO]]</f>
        <v>1608948.29</v>
      </c>
      <c r="H137" s="129"/>
      <c r="I137" s="128"/>
    </row>
    <row r="138" spans="1:9" x14ac:dyDescent="0.25">
      <c r="A138" s="32">
        <v>46198</v>
      </c>
      <c r="B138" s="32">
        <v>46233</v>
      </c>
      <c r="C138" s="33" t="str">
        <f t="shared" si="2"/>
        <v>JULIO</v>
      </c>
      <c r="D138" s="127" t="s">
        <v>296</v>
      </c>
      <c r="E138" s="131"/>
      <c r="F138" s="132">
        <v>1441330.42</v>
      </c>
      <c r="G138" s="34">
        <f>+[3]!Tabla1[[#This Row],[CRÉDITO]]-[3]!Tabla1[[#This Row],[DÉBITO]]</f>
        <v>0</v>
      </c>
      <c r="H138" s="129"/>
      <c r="I138" s="128"/>
    </row>
    <row r="1048401" spans="1:1" ht="12.75" thickBot="1" x14ac:dyDescent="0.3"/>
    <row r="1048402" spans="1:1" ht="12.75" thickBot="1" x14ac:dyDescent="0.3">
      <c r="A1048402" s="36"/>
    </row>
  </sheetData>
  <pageMargins left="0.23622047244094491" right="0.23622047244094491" top="0.74803149606299213" bottom="0.74803149606299213" header="0.31496062992125984" footer="0.31496062992125984"/>
  <pageSetup scale="75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9704-44C6-4747-90C3-B186B3825C2D}">
  <sheetPr>
    <tabColor rgb="FF7030A0"/>
  </sheetPr>
  <dimension ref="B1:S340"/>
  <sheetViews>
    <sheetView showGridLines="0" zoomScaleNormal="100" workbookViewId="0">
      <selection activeCell="D64" sqref="D64"/>
    </sheetView>
  </sheetViews>
  <sheetFormatPr baseColWidth="10" defaultColWidth="11.42578125" defaultRowHeight="12" x14ac:dyDescent="0.2"/>
  <cols>
    <col min="1" max="1" width="1.5703125" style="37" customWidth="1"/>
    <col min="2" max="2" width="42" style="37" bestFit="1" customWidth="1"/>
    <col min="3" max="3" width="68.28515625" style="37" bestFit="1" customWidth="1"/>
    <col min="4" max="4" width="64.28515625" style="37" bestFit="1" customWidth="1"/>
    <col min="5" max="5" width="20" style="37" customWidth="1"/>
    <col min="6" max="6" width="20.28515625" style="37" customWidth="1"/>
    <col min="7" max="7" width="13.140625" style="37" customWidth="1"/>
    <col min="8" max="8" width="20.28515625" style="37" customWidth="1"/>
    <col min="9" max="10" width="20" style="37" customWidth="1"/>
    <col min="11" max="11" width="19.5703125" style="37" customWidth="1"/>
    <col min="12" max="13" width="20" style="37" customWidth="1"/>
    <col min="14" max="14" width="19.5703125" style="37" bestFit="1" customWidth="1"/>
    <col min="15" max="15" width="18.7109375" style="37" bestFit="1" customWidth="1"/>
    <col min="16" max="16" width="17.7109375" style="37" bestFit="1" customWidth="1"/>
    <col min="17" max="17" width="20.5703125" style="37" bestFit="1" customWidth="1"/>
    <col min="18" max="18" width="3.28515625" style="37" customWidth="1"/>
    <col min="19" max="16384" width="11.42578125" style="37"/>
  </cols>
  <sheetData>
    <row r="1" spans="2:17" x14ac:dyDescent="0.2">
      <c r="E1" s="38" t="e">
        <f>+E8+E34+E42+E80+E91+E112+E157+E163+E190+E216+E253+E260+E279+E308+E174</f>
        <v>#REF!</v>
      </c>
      <c r="F1" s="38" t="e">
        <f>+F8+F34+F42+F80+F91+F112+F157+F163+F190+F216+F253+F260+F279+F308+F174</f>
        <v>#REF!</v>
      </c>
    </row>
    <row r="2" spans="2:17" s="40" customFormat="1" x14ac:dyDescent="0.25">
      <c r="B2" s="39" t="s">
        <v>359</v>
      </c>
      <c r="D2" s="41"/>
      <c r="E2" s="42">
        <v>4.1000000000000002E-2</v>
      </c>
      <c r="F2" s="42">
        <v>3.7999999999999999E-2</v>
      </c>
      <c r="G2" s="42">
        <v>3.9E-2</v>
      </c>
      <c r="H2" s="42">
        <v>3.5000000000000003E-2</v>
      </c>
      <c r="I2" s="42">
        <v>3.5200000000000002E-2</v>
      </c>
      <c r="J2" s="42">
        <v>3.4000000000000002E-2</v>
      </c>
      <c r="K2" s="42">
        <v>3.2899999999999999E-2</v>
      </c>
      <c r="L2" s="42">
        <v>3.1800000000000002E-2</v>
      </c>
      <c r="M2" s="42">
        <v>3.0800000000000001E-2</v>
      </c>
      <c r="N2" s="42">
        <v>2.9899999999999999E-2</v>
      </c>
      <c r="O2" s="42">
        <v>2.9000000000000001E-2</v>
      </c>
      <c r="P2" s="43"/>
    </row>
    <row r="3" spans="2:17" s="44" customFormat="1" x14ac:dyDescent="0.25">
      <c r="B3" s="39" t="s">
        <v>360</v>
      </c>
      <c r="E3" s="45">
        <v>87</v>
      </c>
      <c r="F3" s="45">
        <v>87.5</v>
      </c>
      <c r="G3" s="45">
        <v>88</v>
      </c>
      <c r="H3" s="45">
        <v>88.5</v>
      </c>
      <c r="I3" s="45">
        <v>89</v>
      </c>
      <c r="J3" s="45">
        <v>90</v>
      </c>
      <c r="K3" s="45">
        <v>91</v>
      </c>
      <c r="L3" s="45">
        <v>93</v>
      </c>
      <c r="M3" s="45">
        <v>95</v>
      </c>
      <c r="N3" s="45">
        <v>95.5</v>
      </c>
      <c r="O3" s="45">
        <v>97</v>
      </c>
      <c r="P3" s="45">
        <v>99</v>
      </c>
      <c r="Q3" s="45"/>
    </row>
    <row r="5" spans="2:17" s="44" customFormat="1" x14ac:dyDescent="0.25">
      <c r="B5" s="46" t="s">
        <v>361</v>
      </c>
      <c r="C5" s="46" t="s">
        <v>362</v>
      </c>
      <c r="D5" s="46" t="s">
        <v>363</v>
      </c>
      <c r="E5" s="47">
        <v>46023</v>
      </c>
      <c r="F5" s="47">
        <v>46054</v>
      </c>
      <c r="G5" s="47">
        <v>46082</v>
      </c>
      <c r="H5" s="47">
        <v>46113</v>
      </c>
      <c r="I5" s="47">
        <v>46143</v>
      </c>
      <c r="J5" s="47">
        <v>46174</v>
      </c>
      <c r="K5" s="47">
        <v>46204</v>
      </c>
      <c r="L5" s="47">
        <v>46235</v>
      </c>
      <c r="M5" s="47">
        <v>46266</v>
      </c>
      <c r="N5" s="47">
        <v>46296</v>
      </c>
      <c r="O5" s="47">
        <v>46327</v>
      </c>
      <c r="P5" s="47">
        <v>46357</v>
      </c>
    </row>
    <row r="6" spans="2:17" x14ac:dyDescent="0.2">
      <c r="B6" s="48" t="s">
        <v>364</v>
      </c>
      <c r="C6" s="49" t="s">
        <v>365</v>
      </c>
      <c r="D6" s="50">
        <v>0.01</v>
      </c>
      <c r="E6" s="51">
        <v>23472685.497899994</v>
      </c>
      <c r="F6" s="51">
        <v>22931092.591900006</v>
      </c>
      <c r="G6" s="51">
        <v>21801460.449999999</v>
      </c>
      <c r="H6" s="51">
        <v>21173587.68</v>
      </c>
      <c r="I6" s="51">
        <v>23149773.476400003</v>
      </c>
      <c r="J6" s="51"/>
      <c r="K6" s="51"/>
      <c r="L6" s="52"/>
      <c r="M6" s="51"/>
      <c r="N6" s="51"/>
      <c r="O6" s="51"/>
      <c r="P6" s="51"/>
      <c r="Q6" s="53">
        <f>+P6+O6+N6+M6+L6+K6+J6+I6+H6+G6+F6+E6</f>
        <v>112528599.6962</v>
      </c>
    </row>
    <row r="7" spans="2:17" ht="12.75" thickBot="1" x14ac:dyDescent="0.25">
      <c r="B7" s="48" t="s">
        <v>364</v>
      </c>
      <c r="C7" s="49" t="s">
        <v>366</v>
      </c>
      <c r="D7" s="54">
        <v>6.0000000000000001E-3</v>
      </c>
      <c r="E7" s="51">
        <v>4863070</v>
      </c>
      <c r="F7" s="51">
        <v>4750863</v>
      </c>
      <c r="G7" s="51">
        <v>4516826</v>
      </c>
      <c r="H7" s="51">
        <v>5579663</v>
      </c>
      <c r="I7" s="51">
        <v>6100428.3065009275</v>
      </c>
      <c r="J7" s="51"/>
      <c r="K7" s="51"/>
      <c r="L7" s="51"/>
      <c r="M7" s="51"/>
      <c r="N7" s="51"/>
      <c r="O7" s="51"/>
      <c r="P7" s="51"/>
      <c r="Q7" s="53">
        <f>+P7+O7+N7+M7+L7+K7+J7+I7+H7+G7+F7+E7</f>
        <v>25810850.306500927</v>
      </c>
    </row>
    <row r="8" spans="2:17" ht="16.5" customHeight="1" thickTop="1" thickBot="1" x14ac:dyDescent="0.25">
      <c r="B8" s="163" t="s">
        <v>367</v>
      </c>
      <c r="C8" s="164"/>
      <c r="D8" s="165"/>
      <c r="E8" s="55">
        <f t="shared" ref="E8:Q8" si="0">SUM(E6:E7)</f>
        <v>28335755.497899994</v>
      </c>
      <c r="F8" s="55">
        <f t="shared" si="0"/>
        <v>27681955.591900006</v>
      </c>
      <c r="G8" s="55">
        <f t="shared" si="0"/>
        <v>26318286.449999999</v>
      </c>
      <c r="H8" s="55">
        <f t="shared" si="0"/>
        <v>26753250.68</v>
      </c>
      <c r="I8" s="55">
        <f t="shared" si="0"/>
        <v>29250201.782900929</v>
      </c>
      <c r="J8" s="55">
        <f t="shared" si="0"/>
        <v>0</v>
      </c>
      <c r="K8" s="55">
        <f t="shared" si="0"/>
        <v>0</v>
      </c>
      <c r="L8" s="55">
        <f t="shared" si="0"/>
        <v>0</v>
      </c>
      <c r="M8" s="55">
        <f t="shared" si="0"/>
        <v>0</v>
      </c>
      <c r="N8" s="55">
        <f t="shared" si="0"/>
        <v>0</v>
      </c>
      <c r="O8" s="55">
        <f t="shared" si="0"/>
        <v>0</v>
      </c>
      <c r="P8" s="55">
        <f t="shared" si="0"/>
        <v>0</v>
      </c>
      <c r="Q8" s="55">
        <f t="shared" si="0"/>
        <v>138339450.00270092</v>
      </c>
    </row>
    <row r="9" spans="2:17" ht="12.75" thickTop="1" x14ac:dyDescent="0.2"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</row>
    <row r="10" spans="2:17" x14ac:dyDescent="0.2">
      <c r="E10" s="56"/>
      <c r="F10" s="56">
        <f>+F17/300</f>
        <v>4449.0528000000004</v>
      </c>
      <c r="G10" s="56">
        <f>+F20/100</f>
        <v>7027.56</v>
      </c>
      <c r="H10" s="56"/>
      <c r="I10" s="56"/>
      <c r="J10" s="56"/>
      <c r="K10" s="56"/>
      <c r="L10" s="56"/>
      <c r="M10" s="56"/>
      <c r="N10" s="56"/>
      <c r="O10" s="56"/>
      <c r="P10" s="56"/>
    </row>
    <row r="11" spans="2:17" s="44" customFormat="1" ht="12.6" customHeight="1" x14ac:dyDescent="0.25">
      <c r="B11" s="46" t="s">
        <v>361</v>
      </c>
      <c r="C11" s="46" t="s">
        <v>362</v>
      </c>
      <c r="D11" s="46" t="s">
        <v>363</v>
      </c>
      <c r="E11" s="47">
        <v>46023</v>
      </c>
      <c r="F11" s="47">
        <v>46054</v>
      </c>
      <c r="G11" s="47">
        <v>46082</v>
      </c>
      <c r="H11" s="47">
        <v>46113</v>
      </c>
      <c r="I11" s="47">
        <v>46143</v>
      </c>
      <c r="J11" s="47">
        <v>46174</v>
      </c>
      <c r="K11" s="47">
        <v>46204</v>
      </c>
      <c r="L11" s="47">
        <v>46235</v>
      </c>
      <c r="M11" s="47">
        <v>46266</v>
      </c>
      <c r="N11" s="47">
        <v>46296</v>
      </c>
      <c r="O11" s="47">
        <v>46327</v>
      </c>
      <c r="P11" s="47">
        <v>46357</v>
      </c>
    </row>
    <row r="12" spans="2:17" s="59" customFormat="1" x14ac:dyDescent="0.2">
      <c r="B12" s="48" t="s">
        <v>368</v>
      </c>
      <c r="C12" s="49" t="s">
        <v>369</v>
      </c>
      <c r="D12" s="49" t="s">
        <v>370</v>
      </c>
      <c r="E12" s="57">
        <v>680104</v>
      </c>
      <c r="F12" s="57">
        <v>697046</v>
      </c>
      <c r="G12" s="57">
        <v>675182</v>
      </c>
      <c r="H12" s="57">
        <v>381546</v>
      </c>
      <c r="I12" s="51">
        <v>394878</v>
      </c>
      <c r="J12" s="51"/>
      <c r="K12" s="51"/>
      <c r="L12" s="57"/>
      <c r="M12" s="57"/>
      <c r="N12" s="57"/>
      <c r="O12" s="57"/>
      <c r="P12" s="51"/>
      <c r="Q12" s="58">
        <f t="shared" ref="Q12:Q33" si="1">+P12+O12+N12+M12+L12+K12+J12+I12+H12+G12+F12+E12</f>
        <v>2828756</v>
      </c>
    </row>
    <row r="13" spans="2:17" x14ac:dyDescent="0.2">
      <c r="B13" s="48" t="s">
        <v>368</v>
      </c>
      <c r="C13" s="49" t="s">
        <v>369</v>
      </c>
      <c r="D13" s="49" t="s">
        <v>371</v>
      </c>
      <c r="E13" s="57">
        <v>27055.52</v>
      </c>
      <c r="F13" s="57">
        <v>27724.84</v>
      </c>
      <c r="G13" s="57">
        <v>28550.32</v>
      </c>
      <c r="H13" s="57">
        <v>77497.429999999993</v>
      </c>
      <c r="I13" s="51">
        <v>34588.19</v>
      </c>
      <c r="J13" s="57">
        <v>35795.47</v>
      </c>
      <c r="K13" s="57"/>
      <c r="L13" s="57"/>
      <c r="M13" s="57"/>
      <c r="N13" s="57"/>
      <c r="O13" s="51"/>
      <c r="P13" s="51"/>
      <c r="Q13" s="58">
        <f t="shared" si="1"/>
        <v>231211.77</v>
      </c>
    </row>
    <row r="14" spans="2:17" x14ac:dyDescent="0.2">
      <c r="B14" s="48" t="s">
        <v>368</v>
      </c>
      <c r="C14" s="49" t="s">
        <v>369</v>
      </c>
      <c r="D14" s="49" t="s">
        <v>371</v>
      </c>
      <c r="E14" s="57">
        <v>9019.84</v>
      </c>
      <c r="F14" s="51">
        <v>9242.98</v>
      </c>
      <c r="G14" s="57">
        <v>9518.18</v>
      </c>
      <c r="H14" s="57">
        <v>9850.41</v>
      </c>
      <c r="I14" s="51">
        <v>11321.49</v>
      </c>
      <c r="J14" s="57">
        <v>11715.7</v>
      </c>
      <c r="K14" s="57"/>
      <c r="L14" s="57"/>
      <c r="M14" s="57"/>
      <c r="N14" s="57"/>
      <c r="O14" s="57"/>
      <c r="P14" s="51"/>
      <c r="Q14" s="58">
        <f t="shared" si="1"/>
        <v>60668.600000000006</v>
      </c>
    </row>
    <row r="15" spans="2:17" x14ac:dyDescent="0.2">
      <c r="B15" s="48" t="s">
        <v>368</v>
      </c>
      <c r="C15" s="49" t="s">
        <v>369</v>
      </c>
      <c r="D15" s="49" t="s">
        <v>371</v>
      </c>
      <c r="E15" s="57">
        <v>9019.84</v>
      </c>
      <c r="F15" s="51">
        <v>9242.98</v>
      </c>
      <c r="G15" s="60"/>
      <c r="H15" s="57">
        <v>32834.71</v>
      </c>
      <c r="I15" s="51">
        <v>10291.74</v>
      </c>
      <c r="J15" s="57">
        <v>10651.24</v>
      </c>
      <c r="K15" s="57"/>
      <c r="L15" s="57"/>
      <c r="M15" s="57"/>
      <c r="N15" s="57"/>
      <c r="O15" s="51"/>
      <c r="P15" s="51"/>
      <c r="Q15" s="58">
        <f t="shared" si="1"/>
        <v>72040.509999999995</v>
      </c>
    </row>
    <row r="16" spans="2:17" s="59" customFormat="1" x14ac:dyDescent="0.2">
      <c r="B16" s="48" t="s">
        <v>368</v>
      </c>
      <c r="C16" s="49" t="s">
        <v>372</v>
      </c>
      <c r="D16" s="49" t="s">
        <v>373</v>
      </c>
      <c r="E16" s="57">
        <v>1076545.8700000001</v>
      </c>
      <c r="F16" s="57">
        <v>1078203.8700000001</v>
      </c>
      <c r="G16" s="57">
        <v>1085743</v>
      </c>
      <c r="H16" s="57">
        <v>1211123.69</v>
      </c>
      <c r="I16" s="51">
        <v>1048494.27</v>
      </c>
      <c r="J16" s="51">
        <v>1112432.6599999999</v>
      </c>
      <c r="K16" s="51"/>
      <c r="L16" s="57"/>
      <c r="M16" s="57"/>
      <c r="N16" s="57"/>
      <c r="O16" s="57"/>
      <c r="P16" s="57"/>
      <c r="Q16" s="58">
        <f t="shared" si="1"/>
        <v>6612543.3599999994</v>
      </c>
    </row>
    <row r="17" spans="2:17" x14ac:dyDescent="0.2">
      <c r="B17" s="48" t="s">
        <v>368</v>
      </c>
      <c r="C17" s="49" t="s">
        <v>374</v>
      </c>
      <c r="D17" s="49" t="s">
        <v>375</v>
      </c>
      <c r="E17" s="57">
        <v>1354561.2</v>
      </c>
      <c r="F17" s="57">
        <v>1334715.8400000001</v>
      </c>
      <c r="G17" s="57">
        <v>1306101.6000000001</v>
      </c>
      <c r="H17" s="57">
        <f>761683.57+3635.73+715068.69</f>
        <v>1480387.9899999998</v>
      </c>
      <c r="I17" s="57">
        <f>2258805.22-3635.73-715068.69</f>
        <v>1540100.8000000003</v>
      </c>
      <c r="J17" s="57">
        <v>1590405.6</v>
      </c>
      <c r="K17" s="57"/>
      <c r="L17" s="51"/>
      <c r="M17" s="51"/>
      <c r="N17" s="57"/>
      <c r="O17" s="51"/>
      <c r="P17" s="51"/>
      <c r="Q17" s="58">
        <f t="shared" si="1"/>
        <v>8606273.0299999993</v>
      </c>
    </row>
    <row r="18" spans="2:17" x14ac:dyDescent="0.2">
      <c r="B18" s="48" t="s">
        <v>368</v>
      </c>
      <c r="C18" s="49" t="s">
        <v>374</v>
      </c>
      <c r="D18" s="49" t="s">
        <v>376</v>
      </c>
      <c r="E18" s="57">
        <v>942135</v>
      </c>
      <c r="F18" s="51">
        <v>928332</v>
      </c>
      <c r="G18" s="57">
        <v>908430</v>
      </c>
      <c r="H18" s="57">
        <v>893985</v>
      </c>
      <c r="I18" s="57">
        <v>894306</v>
      </c>
      <c r="J18" s="57">
        <v>923517</v>
      </c>
      <c r="K18" s="57"/>
      <c r="L18" s="51"/>
      <c r="M18" s="51"/>
      <c r="N18" s="51"/>
      <c r="O18" s="51"/>
      <c r="P18" s="51"/>
      <c r="Q18" s="58">
        <f t="shared" si="1"/>
        <v>5490705</v>
      </c>
    </row>
    <row r="19" spans="2:17" x14ac:dyDescent="0.2">
      <c r="B19" s="48" t="s">
        <v>368</v>
      </c>
      <c r="C19" s="49" t="s">
        <v>374</v>
      </c>
      <c r="D19" s="49" t="s">
        <v>377</v>
      </c>
      <c r="E19" s="57">
        <v>1051904</v>
      </c>
      <c r="F19" s="57">
        <v>1036492.8</v>
      </c>
      <c r="G19" s="57">
        <v>1014272</v>
      </c>
      <c r="H19" s="57">
        <v>998144</v>
      </c>
      <c r="I19" s="57">
        <v>998502.40000000002</v>
      </c>
      <c r="J19" s="57">
        <v>1031116.8</v>
      </c>
      <c r="K19" s="57"/>
      <c r="L19" s="51"/>
      <c r="M19" s="51"/>
      <c r="N19" s="51"/>
      <c r="O19" s="51"/>
      <c r="P19" s="51"/>
      <c r="Q19" s="58">
        <f t="shared" si="1"/>
        <v>6130432</v>
      </c>
    </row>
    <row r="20" spans="2:17" x14ac:dyDescent="0.2">
      <c r="B20" s="48" t="s">
        <v>368</v>
      </c>
      <c r="C20" s="49" t="s">
        <v>374</v>
      </c>
      <c r="D20" s="49" t="s">
        <v>378</v>
      </c>
      <c r="E20" s="57">
        <v>713205</v>
      </c>
      <c r="F20" s="57">
        <v>702756</v>
      </c>
      <c r="G20" s="57">
        <v>687690</v>
      </c>
      <c r="H20" s="57">
        <v>751950</v>
      </c>
      <c r="I20" s="57">
        <v>752220</v>
      </c>
      <c r="J20" s="57">
        <v>776790</v>
      </c>
      <c r="K20" s="57"/>
      <c r="L20" s="51"/>
      <c r="M20" s="51"/>
      <c r="N20" s="51"/>
      <c r="O20" s="51"/>
      <c r="P20" s="51"/>
      <c r="Q20" s="58">
        <f t="shared" si="1"/>
        <v>4384611</v>
      </c>
    </row>
    <row r="21" spans="2:17" s="59" customFormat="1" x14ac:dyDescent="0.2">
      <c r="B21" s="48" t="s">
        <v>368</v>
      </c>
      <c r="C21" s="49" t="s">
        <v>379</v>
      </c>
      <c r="D21" s="49" t="s">
        <v>380</v>
      </c>
      <c r="E21" s="57">
        <f>1565.08*1465</f>
        <v>2292842.1999999997</v>
      </c>
      <c r="F21" s="57">
        <f>1565.08*1465</f>
        <v>2292842.1999999997</v>
      </c>
      <c r="G21" s="57">
        <f>1565.08*1420</f>
        <v>2222413.6</v>
      </c>
      <c r="H21" s="57">
        <v>2244204.15</v>
      </c>
      <c r="I21" s="57">
        <v>2287767.2999999998</v>
      </c>
      <c r="J21" s="57">
        <v>2338371.25</v>
      </c>
      <c r="K21" s="57"/>
      <c r="L21" s="51"/>
      <c r="M21" s="51"/>
      <c r="N21" s="51"/>
      <c r="O21" s="61"/>
      <c r="P21" s="61"/>
      <c r="Q21" s="58">
        <f t="shared" si="1"/>
        <v>13678440.699999997</v>
      </c>
    </row>
    <row r="22" spans="2:17" s="59" customFormat="1" x14ac:dyDescent="0.2">
      <c r="B22" s="48" t="s">
        <v>368</v>
      </c>
      <c r="C22" s="49" t="s">
        <v>379</v>
      </c>
      <c r="D22" s="49" t="s">
        <v>381</v>
      </c>
      <c r="E22" s="57">
        <v>57730.76</v>
      </c>
      <c r="F22" s="57">
        <v>57730.76</v>
      </c>
      <c r="G22" s="57">
        <v>57730.76</v>
      </c>
      <c r="H22" s="57">
        <v>57730.76</v>
      </c>
      <c r="I22" s="57">
        <v>57730.76</v>
      </c>
      <c r="J22" s="57">
        <v>57730.76</v>
      </c>
      <c r="K22" s="57"/>
      <c r="L22" s="51"/>
      <c r="M22" s="51"/>
      <c r="N22" s="51"/>
      <c r="O22" s="61"/>
      <c r="P22" s="61"/>
      <c r="Q22" s="58">
        <f t="shared" si="1"/>
        <v>346384.56</v>
      </c>
    </row>
    <row r="23" spans="2:17" s="59" customFormat="1" x14ac:dyDescent="0.2">
      <c r="B23" s="48" t="s">
        <v>368</v>
      </c>
      <c r="C23" s="49" t="s">
        <v>379</v>
      </c>
      <c r="D23" s="49" t="s">
        <v>382</v>
      </c>
      <c r="E23" s="51">
        <v>11082.92</v>
      </c>
      <c r="F23" s="51">
        <v>11082.92</v>
      </c>
      <c r="G23" s="57">
        <v>11082.92</v>
      </c>
      <c r="H23" s="57">
        <v>11803.31</v>
      </c>
      <c r="I23" s="57">
        <v>11803.31</v>
      </c>
      <c r="J23" s="57">
        <v>11803.31</v>
      </c>
      <c r="K23" s="57"/>
      <c r="L23" s="57"/>
      <c r="M23" s="57"/>
      <c r="N23" s="57"/>
      <c r="O23" s="57"/>
      <c r="P23" s="61"/>
      <c r="Q23" s="58">
        <f t="shared" si="1"/>
        <v>68658.69</v>
      </c>
    </row>
    <row r="24" spans="2:17" s="59" customFormat="1" x14ac:dyDescent="0.2">
      <c r="B24" s="48" t="s">
        <v>368</v>
      </c>
      <c r="C24" s="49" t="s">
        <v>379</v>
      </c>
      <c r="D24" s="62" t="s">
        <v>383</v>
      </c>
      <c r="E24" s="51">
        <v>5105.41</v>
      </c>
      <c r="F24" s="51">
        <v>5105.41</v>
      </c>
      <c r="G24" s="57">
        <v>4212.67</v>
      </c>
      <c r="H24" s="57">
        <v>2419.71</v>
      </c>
      <c r="I24" s="57">
        <v>1426.67</v>
      </c>
      <c r="J24" s="57">
        <v>1154.53</v>
      </c>
      <c r="K24" s="57"/>
      <c r="L24" s="57"/>
      <c r="M24" s="57"/>
      <c r="N24" s="57"/>
      <c r="O24" s="57"/>
      <c r="P24" s="61"/>
      <c r="Q24" s="58">
        <f t="shared" si="1"/>
        <v>19424.400000000001</v>
      </c>
    </row>
    <row r="25" spans="2:17" s="59" customFormat="1" x14ac:dyDescent="0.2">
      <c r="B25" s="48" t="s">
        <v>368</v>
      </c>
      <c r="C25" s="49" t="s">
        <v>379</v>
      </c>
      <c r="D25" s="62" t="s">
        <v>384</v>
      </c>
      <c r="E25" s="51">
        <v>0</v>
      </c>
      <c r="F25" s="51">
        <v>0</v>
      </c>
      <c r="G25" s="57">
        <v>0</v>
      </c>
      <c r="H25" s="57">
        <v>217174.19999999998</v>
      </c>
      <c r="I25" s="57">
        <v>129015</v>
      </c>
      <c r="J25" s="57">
        <v>132217.5</v>
      </c>
      <c r="K25" s="57"/>
      <c r="L25" s="57"/>
      <c r="M25" s="57"/>
      <c r="N25" s="57"/>
      <c r="O25" s="57"/>
      <c r="P25" s="61"/>
      <c r="Q25" s="58">
        <f t="shared" si="1"/>
        <v>478406.69999999995</v>
      </c>
    </row>
    <row r="26" spans="2:17" s="59" customFormat="1" x14ac:dyDescent="0.2">
      <c r="B26" s="48" t="s">
        <v>368</v>
      </c>
      <c r="C26" s="49" t="s">
        <v>385</v>
      </c>
      <c r="D26" s="49" t="s">
        <v>386</v>
      </c>
      <c r="E26" s="51">
        <v>35524</v>
      </c>
      <c r="F26" s="57">
        <v>37986.29</v>
      </c>
      <c r="G26" s="57">
        <v>38679.229999999996</v>
      </c>
      <c r="H26" s="57">
        <v>44945</v>
      </c>
      <c r="I26" s="57">
        <v>47208</v>
      </c>
      <c r="J26" s="57"/>
      <c r="K26" s="57"/>
      <c r="L26" s="57"/>
      <c r="M26" s="57"/>
      <c r="N26" s="57"/>
      <c r="O26" s="57"/>
      <c r="P26" s="61"/>
      <c r="Q26" s="58">
        <f t="shared" si="1"/>
        <v>204342.52</v>
      </c>
    </row>
    <row r="27" spans="2:17" s="59" customFormat="1" x14ac:dyDescent="0.2">
      <c r="B27" s="48" t="s">
        <v>368</v>
      </c>
      <c r="C27" s="49" t="s">
        <v>385</v>
      </c>
      <c r="D27" s="49" t="s">
        <v>387</v>
      </c>
      <c r="E27" s="51">
        <f>107920+35524</f>
        <v>143444</v>
      </c>
      <c r="F27" s="57">
        <v>104400</v>
      </c>
      <c r="G27" s="57">
        <v>107610</v>
      </c>
      <c r="H27" s="57">
        <v>111345</v>
      </c>
      <c r="I27" s="57">
        <v>341155</v>
      </c>
      <c r="J27" s="57"/>
      <c r="K27" s="57"/>
      <c r="L27" s="57"/>
      <c r="M27" s="57"/>
      <c r="N27" s="57"/>
      <c r="O27" s="57"/>
      <c r="P27" s="61"/>
      <c r="Q27" s="58"/>
    </row>
    <row r="28" spans="2:17" s="59" customFormat="1" x14ac:dyDescent="0.2">
      <c r="B28" s="48" t="s">
        <v>368</v>
      </c>
      <c r="C28" s="49" t="s">
        <v>388</v>
      </c>
      <c r="D28" s="49" t="s">
        <v>389</v>
      </c>
      <c r="E28" s="51">
        <v>29478.33</v>
      </c>
      <c r="F28" s="51">
        <v>0</v>
      </c>
      <c r="G28" s="57">
        <v>0</v>
      </c>
      <c r="H28" s="57">
        <v>0</v>
      </c>
      <c r="I28" s="57">
        <v>0</v>
      </c>
      <c r="J28" s="57">
        <v>0</v>
      </c>
      <c r="K28" s="57"/>
      <c r="L28" s="57"/>
      <c r="M28" s="51"/>
      <c r="N28" s="51"/>
      <c r="O28" s="61"/>
      <c r="P28" s="61"/>
      <c r="Q28" s="58">
        <f t="shared" si="1"/>
        <v>29478.33</v>
      </c>
    </row>
    <row r="29" spans="2:17" x14ac:dyDescent="0.2">
      <c r="B29" s="48" t="s">
        <v>368</v>
      </c>
      <c r="C29" s="49" t="s">
        <v>390</v>
      </c>
      <c r="D29" s="49" t="s">
        <v>391</v>
      </c>
      <c r="E29" s="63">
        <v>962000</v>
      </c>
      <c r="F29" s="51">
        <v>952250</v>
      </c>
      <c r="G29" s="57">
        <v>923000</v>
      </c>
      <c r="H29" s="51">
        <v>919750</v>
      </c>
      <c r="I29" s="57">
        <v>919750</v>
      </c>
      <c r="J29" s="57">
        <v>929500</v>
      </c>
      <c r="K29" s="57"/>
      <c r="L29" s="57"/>
      <c r="M29" s="51"/>
      <c r="N29" s="57"/>
      <c r="O29" s="51"/>
      <c r="P29" s="51"/>
      <c r="Q29" s="58">
        <f t="shared" si="1"/>
        <v>5606250</v>
      </c>
    </row>
    <row r="30" spans="2:17" x14ac:dyDescent="0.2">
      <c r="B30" s="48" t="s">
        <v>368</v>
      </c>
      <c r="C30" s="49" t="s">
        <v>390</v>
      </c>
      <c r="D30" s="49" t="s">
        <v>392</v>
      </c>
      <c r="E30" s="63">
        <v>121962.95</v>
      </c>
      <c r="F30" s="63">
        <v>125377.9</v>
      </c>
      <c r="G30" s="57">
        <v>266410.02</v>
      </c>
      <c r="H30" s="57">
        <v>566802.69999999995</v>
      </c>
      <c r="I30" s="63">
        <v>240193.08</v>
      </c>
      <c r="J30" s="57"/>
      <c r="K30" s="57"/>
      <c r="L30" s="57"/>
      <c r="M30" s="57"/>
      <c r="N30" s="57"/>
      <c r="O30" s="51"/>
      <c r="P30" s="51"/>
      <c r="Q30" s="58">
        <f t="shared" si="1"/>
        <v>1320746.6499999997</v>
      </c>
    </row>
    <row r="31" spans="2:17" x14ac:dyDescent="0.2">
      <c r="B31" s="48" t="s">
        <v>368</v>
      </c>
      <c r="C31" s="49" t="s">
        <v>390</v>
      </c>
      <c r="D31" s="49" t="s">
        <v>377</v>
      </c>
      <c r="E31" s="63">
        <v>1036000</v>
      </c>
      <c r="F31" s="52">
        <v>1025500</v>
      </c>
      <c r="G31" s="57">
        <v>994000</v>
      </c>
      <c r="H31" s="51">
        <v>990500</v>
      </c>
      <c r="I31" s="63">
        <v>990500</v>
      </c>
      <c r="J31" s="57">
        <v>1001000</v>
      </c>
      <c r="K31" s="57"/>
      <c r="L31" s="57"/>
      <c r="M31" s="57"/>
      <c r="N31" s="57"/>
      <c r="O31" s="51"/>
      <c r="P31" s="51"/>
      <c r="Q31" s="58">
        <f t="shared" si="1"/>
        <v>6037500</v>
      </c>
    </row>
    <row r="32" spans="2:17" x14ac:dyDescent="0.2">
      <c r="B32" s="48" t="s">
        <v>368</v>
      </c>
      <c r="C32" s="49" t="s">
        <v>390</v>
      </c>
      <c r="D32" s="49" t="s">
        <v>393</v>
      </c>
      <c r="E32" s="52">
        <v>1598400</v>
      </c>
      <c r="F32" s="52">
        <v>1582200</v>
      </c>
      <c r="G32" s="51">
        <v>1533600</v>
      </c>
      <c r="H32" s="51">
        <v>1528200</v>
      </c>
      <c r="I32" s="57">
        <v>1528200</v>
      </c>
      <c r="J32" s="57">
        <v>1544400</v>
      </c>
      <c r="K32" s="57"/>
      <c r="L32" s="57"/>
      <c r="M32" s="57"/>
      <c r="N32" s="57"/>
      <c r="O32" s="51"/>
      <c r="P32" s="51"/>
      <c r="Q32" s="58">
        <f t="shared" si="1"/>
        <v>9315000</v>
      </c>
    </row>
    <row r="33" spans="2:19" ht="12.75" thickBot="1" x14ac:dyDescent="0.25">
      <c r="B33" s="48" t="s">
        <v>368</v>
      </c>
      <c r="C33" s="49" t="s">
        <v>722</v>
      </c>
      <c r="D33" s="49" t="s">
        <v>723</v>
      </c>
      <c r="E33" s="63">
        <v>0</v>
      </c>
      <c r="F33" s="63">
        <v>0</v>
      </c>
      <c r="G33" s="57">
        <v>0</v>
      </c>
      <c r="H33" s="57">
        <v>0</v>
      </c>
      <c r="I33" s="63">
        <v>0</v>
      </c>
      <c r="J33" s="57">
        <v>0</v>
      </c>
      <c r="K33" s="57"/>
      <c r="L33" s="57"/>
      <c r="M33" s="57"/>
      <c r="N33" s="57"/>
      <c r="O33" s="51"/>
      <c r="P33" s="51"/>
      <c r="Q33" s="58">
        <f t="shared" si="1"/>
        <v>0</v>
      </c>
    </row>
    <row r="34" spans="2:19" ht="13.5" thickTop="1" thickBot="1" x14ac:dyDescent="0.25">
      <c r="B34" s="163" t="s">
        <v>367</v>
      </c>
      <c r="C34" s="164"/>
      <c r="D34" s="165"/>
      <c r="E34" s="55">
        <f>SUM(E12:E33)</f>
        <v>12157120.839999998</v>
      </c>
      <c r="F34" s="55">
        <f t="shared" ref="F34:Q34" si="2">SUM(F12:F33)</f>
        <v>12018232.790000001</v>
      </c>
      <c r="G34" s="55">
        <f t="shared" si="2"/>
        <v>11874226.299999999</v>
      </c>
      <c r="H34" s="55">
        <f t="shared" si="2"/>
        <v>12532194.059999999</v>
      </c>
      <c r="I34" s="55">
        <f t="shared" si="2"/>
        <v>12239452.01</v>
      </c>
      <c r="J34" s="55">
        <f t="shared" si="2"/>
        <v>11508601.82</v>
      </c>
      <c r="K34" s="55">
        <f t="shared" si="2"/>
        <v>0</v>
      </c>
      <c r="L34" s="55">
        <f t="shared" si="2"/>
        <v>0</v>
      </c>
      <c r="M34" s="55">
        <f t="shared" si="2"/>
        <v>0</v>
      </c>
      <c r="N34" s="55">
        <f t="shared" si="2"/>
        <v>0</v>
      </c>
      <c r="O34" s="55">
        <f t="shared" si="2"/>
        <v>0</v>
      </c>
      <c r="P34" s="55">
        <f t="shared" si="2"/>
        <v>0</v>
      </c>
      <c r="Q34" s="55">
        <f t="shared" si="2"/>
        <v>71521873.819999993</v>
      </c>
    </row>
    <row r="35" spans="2:19" ht="12.75" thickTop="1" x14ac:dyDescent="0.2">
      <c r="F35" s="56">
        <f>+F32/500</f>
        <v>3164.4</v>
      </c>
      <c r="K35" s="64"/>
      <c r="L35" s="65"/>
    </row>
    <row r="36" spans="2:19" s="44" customFormat="1" x14ac:dyDescent="0.25">
      <c r="B36" s="46" t="s">
        <v>361</v>
      </c>
      <c r="C36" s="46" t="s">
        <v>362</v>
      </c>
      <c r="D36" s="46" t="s">
        <v>363</v>
      </c>
      <c r="E36" s="47">
        <v>46023</v>
      </c>
      <c r="F36" s="47">
        <v>46054</v>
      </c>
      <c r="G36" s="47">
        <v>46082</v>
      </c>
      <c r="H36" s="47">
        <v>46113</v>
      </c>
      <c r="I36" s="47">
        <v>46143</v>
      </c>
      <c r="J36" s="47">
        <v>46174</v>
      </c>
      <c r="K36" s="47">
        <v>46204</v>
      </c>
      <c r="L36" s="47">
        <v>46235</v>
      </c>
      <c r="M36" s="47">
        <v>46266</v>
      </c>
      <c r="N36" s="47">
        <v>46296</v>
      </c>
      <c r="O36" s="47">
        <v>46327</v>
      </c>
      <c r="P36" s="47">
        <v>46357</v>
      </c>
    </row>
    <row r="37" spans="2:19" x14ac:dyDescent="0.2">
      <c r="B37" s="48" t="s">
        <v>394</v>
      </c>
      <c r="C37" s="49" t="s">
        <v>395</v>
      </c>
      <c r="D37" s="49" t="s">
        <v>396</v>
      </c>
      <c r="E37" s="66">
        <v>7700040</v>
      </c>
      <c r="F37" s="66">
        <v>7418376</v>
      </c>
      <c r="G37" s="51">
        <v>7151976</v>
      </c>
      <c r="H37" s="66">
        <v>4667540</v>
      </c>
      <c r="I37" s="51">
        <v>4867650</v>
      </c>
      <c r="J37" s="51"/>
      <c r="K37" s="51"/>
      <c r="L37" s="51"/>
      <c r="M37" s="66"/>
      <c r="N37" s="66"/>
      <c r="O37" s="61"/>
      <c r="P37" s="61"/>
      <c r="Q37" s="53">
        <f>+P37+O37+N37+M37+L37+K37+J37+I37+H37+G37+F37+E37</f>
        <v>31805582</v>
      </c>
    </row>
    <row r="38" spans="2:19" x14ac:dyDescent="0.2">
      <c r="B38" s="48" t="s">
        <v>394</v>
      </c>
      <c r="C38" s="49" t="s">
        <v>397</v>
      </c>
      <c r="D38" s="49" t="s">
        <v>398</v>
      </c>
      <c r="E38" s="63">
        <v>0</v>
      </c>
      <c r="F38" s="63">
        <v>0</v>
      </c>
      <c r="G38" s="57">
        <v>3475000</v>
      </c>
      <c r="H38" s="66">
        <v>1750000</v>
      </c>
      <c r="I38" s="51">
        <v>1820000</v>
      </c>
      <c r="J38" s="51"/>
      <c r="K38" s="51"/>
      <c r="L38" s="51"/>
      <c r="M38" s="66"/>
      <c r="N38" s="66"/>
      <c r="O38" s="61"/>
      <c r="P38" s="61"/>
      <c r="Q38" s="53"/>
    </row>
    <row r="39" spans="2:19" x14ac:dyDescent="0.2">
      <c r="B39" s="48" t="s">
        <v>394</v>
      </c>
      <c r="C39" s="49" t="s">
        <v>395</v>
      </c>
      <c r="D39" s="49" t="s">
        <v>399</v>
      </c>
      <c r="E39" s="57">
        <v>430874.08</v>
      </c>
      <c r="F39" s="66">
        <v>415073.75</v>
      </c>
      <c r="G39" s="66">
        <v>516608.86</v>
      </c>
      <c r="H39" s="66">
        <v>496348.79</v>
      </c>
      <c r="I39" s="66">
        <v>461455.54</v>
      </c>
      <c r="J39" s="66"/>
      <c r="K39" s="66"/>
      <c r="L39" s="66"/>
      <c r="M39" s="66"/>
      <c r="N39" s="66"/>
      <c r="O39" s="66"/>
      <c r="P39" s="66"/>
      <c r="Q39" s="53">
        <f>+P39+O39+N39+M39+L39+K39+J39+I39+H39+G39+F39+E39</f>
        <v>2320361.02</v>
      </c>
    </row>
    <row r="40" spans="2:19" x14ac:dyDescent="0.2">
      <c r="B40" s="48" t="s">
        <v>394</v>
      </c>
      <c r="C40" s="49" t="s">
        <v>395</v>
      </c>
      <c r="D40" s="49" t="s">
        <v>400</v>
      </c>
      <c r="E40" s="57">
        <v>739585.91</v>
      </c>
      <c r="F40" s="66">
        <v>650742.37</v>
      </c>
      <c r="G40" s="66">
        <v>742013.84</v>
      </c>
      <c r="H40" s="66">
        <v>796593.3</v>
      </c>
      <c r="I40" s="66">
        <v>871348.79</v>
      </c>
      <c r="J40" s="66"/>
      <c r="K40" s="66"/>
      <c r="L40" s="66"/>
      <c r="M40" s="66"/>
      <c r="N40" s="66"/>
      <c r="O40" s="66"/>
      <c r="P40" s="66"/>
      <c r="Q40" s="53"/>
    </row>
    <row r="41" spans="2:19" ht="12.75" thickBot="1" x14ac:dyDescent="0.25">
      <c r="B41" s="48" t="s">
        <v>394</v>
      </c>
      <c r="C41" s="49"/>
      <c r="D41" s="49"/>
      <c r="E41" s="57">
        <v>0</v>
      </c>
      <c r="F41" s="66">
        <v>0</v>
      </c>
      <c r="G41" s="66">
        <v>0</v>
      </c>
      <c r="H41" s="66">
        <v>0</v>
      </c>
      <c r="I41" s="66">
        <v>0</v>
      </c>
      <c r="J41" s="66"/>
      <c r="K41" s="66"/>
      <c r="L41" s="66"/>
      <c r="M41" s="66"/>
      <c r="N41" s="66"/>
      <c r="O41" s="66"/>
      <c r="P41" s="66"/>
      <c r="Q41" s="53"/>
    </row>
    <row r="42" spans="2:19" ht="13.5" thickTop="1" thickBot="1" x14ac:dyDescent="0.25">
      <c r="B42" s="163" t="s">
        <v>401</v>
      </c>
      <c r="C42" s="164"/>
      <c r="D42" s="165"/>
      <c r="E42" s="55">
        <f>SUM(E37:E41)</f>
        <v>8870499.9900000002</v>
      </c>
      <c r="F42" s="55">
        <f t="shared" ref="F42:Q42" si="3">SUM(F37:F41)</f>
        <v>8484192.1199999992</v>
      </c>
      <c r="G42" s="55">
        <f>SUM(G37:G41)</f>
        <v>11885598.699999999</v>
      </c>
      <c r="H42" s="55">
        <f t="shared" si="3"/>
        <v>7710482.0899999999</v>
      </c>
      <c r="I42" s="55">
        <f t="shared" si="3"/>
        <v>8020454.3300000001</v>
      </c>
      <c r="J42" s="55">
        <f t="shared" si="3"/>
        <v>0</v>
      </c>
      <c r="K42" s="55">
        <f t="shared" si="3"/>
        <v>0</v>
      </c>
      <c r="L42" s="55">
        <f t="shared" si="3"/>
        <v>0</v>
      </c>
      <c r="M42" s="55">
        <f t="shared" si="3"/>
        <v>0</v>
      </c>
      <c r="N42" s="55">
        <f t="shared" si="3"/>
        <v>0</v>
      </c>
      <c r="O42" s="55">
        <f t="shared" si="3"/>
        <v>0</v>
      </c>
      <c r="P42" s="55">
        <f t="shared" si="3"/>
        <v>0</v>
      </c>
      <c r="Q42" s="55">
        <f t="shared" si="3"/>
        <v>34125943.020000003</v>
      </c>
    </row>
    <row r="43" spans="2:19" ht="12.75" thickTop="1" x14ac:dyDescent="0.2"/>
    <row r="44" spans="2:19" x14ac:dyDescent="0.2">
      <c r="F44" s="64"/>
      <c r="I44" s="67"/>
    </row>
    <row r="45" spans="2:19" s="44" customFormat="1" x14ac:dyDescent="0.25">
      <c r="B45" s="46" t="s">
        <v>361</v>
      </c>
      <c r="C45" s="46" t="s">
        <v>362</v>
      </c>
      <c r="D45" s="46" t="s">
        <v>363</v>
      </c>
      <c r="E45" s="47">
        <v>46023</v>
      </c>
      <c r="F45" s="47">
        <v>46054</v>
      </c>
      <c r="G45" s="47">
        <v>46082</v>
      </c>
      <c r="H45" s="47">
        <v>46113</v>
      </c>
      <c r="I45" s="47">
        <v>46143</v>
      </c>
      <c r="J45" s="47">
        <v>46174</v>
      </c>
      <c r="K45" s="47">
        <v>46204</v>
      </c>
      <c r="L45" s="47">
        <v>46235</v>
      </c>
      <c r="M45" s="47">
        <v>46266</v>
      </c>
      <c r="N45" s="47">
        <v>46296</v>
      </c>
      <c r="O45" s="47">
        <v>46327</v>
      </c>
      <c r="P45" s="47">
        <v>46357</v>
      </c>
    </row>
    <row r="46" spans="2:19" x14ac:dyDescent="0.2">
      <c r="B46" s="48" t="s">
        <v>402</v>
      </c>
      <c r="C46" s="49" t="s">
        <v>403</v>
      </c>
      <c r="D46" s="49" t="s">
        <v>404</v>
      </c>
      <c r="E46" s="51">
        <v>0</v>
      </c>
      <c r="F46" s="51">
        <v>0</v>
      </c>
      <c r="G46" s="51">
        <f>138000+795236.67</f>
        <v>933236.67</v>
      </c>
      <c r="H46" s="51">
        <f t="shared" ref="H46:L46" si="4">4771420/6</f>
        <v>795236.66666666663</v>
      </c>
      <c r="I46" s="51">
        <f>4771420/6+60000</f>
        <v>855236.66666666663</v>
      </c>
      <c r="J46" s="51">
        <f t="shared" si="4"/>
        <v>795236.66666666663</v>
      </c>
      <c r="K46" s="51">
        <f t="shared" si="4"/>
        <v>795236.66666666663</v>
      </c>
      <c r="L46" s="51">
        <f t="shared" si="4"/>
        <v>795236.66666666663</v>
      </c>
      <c r="M46" s="51"/>
      <c r="N46" s="51"/>
      <c r="O46" s="51"/>
      <c r="P46" s="51"/>
      <c r="Q46" s="58">
        <f t="shared" ref="Q46:Q79" si="5">+P46+O46+N46+M46+L46+K46+J46+I46+H46+G46+F46+E46</f>
        <v>4969420.0033333329</v>
      </c>
    </row>
    <row r="47" spans="2:19" x14ac:dyDescent="0.2">
      <c r="B47" s="48" t="s">
        <v>402</v>
      </c>
      <c r="C47" s="49" t="s">
        <v>405</v>
      </c>
      <c r="D47" s="49" t="s">
        <v>406</v>
      </c>
      <c r="E47" s="51">
        <v>3570756.86</v>
      </c>
      <c r="F47" s="51">
        <v>3570756.86</v>
      </c>
      <c r="G47" s="51">
        <v>3570756.86</v>
      </c>
      <c r="H47" s="51">
        <v>4214093.63</v>
      </c>
      <c r="I47" s="51">
        <f>+H47</f>
        <v>4214093.63</v>
      </c>
      <c r="J47" s="51"/>
      <c r="K47" s="51"/>
      <c r="L47" s="51"/>
      <c r="M47" s="51"/>
      <c r="N47" s="51"/>
      <c r="O47" s="51"/>
      <c r="P47" s="51"/>
      <c r="Q47" s="58">
        <f t="shared" si="5"/>
        <v>19140457.84</v>
      </c>
    </row>
    <row r="48" spans="2:19" x14ac:dyDescent="0.2">
      <c r="B48" s="48" t="s">
        <v>402</v>
      </c>
      <c r="C48" s="49" t="s">
        <v>407</v>
      </c>
      <c r="D48" s="49" t="s">
        <v>408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/>
      <c r="K48" s="51"/>
      <c r="L48" s="51"/>
      <c r="M48" s="51"/>
      <c r="N48" s="51"/>
      <c r="O48" s="51"/>
      <c r="P48" s="51"/>
      <c r="Q48" s="58">
        <f t="shared" si="5"/>
        <v>0</v>
      </c>
      <c r="S48" s="68"/>
    </row>
    <row r="49" spans="2:19" x14ac:dyDescent="0.2">
      <c r="B49" s="48" t="s">
        <v>402</v>
      </c>
      <c r="C49" s="49" t="s">
        <v>409</v>
      </c>
      <c r="D49" s="49"/>
      <c r="E49" s="51">
        <v>169674.75</v>
      </c>
      <c r="F49" s="51">
        <v>0</v>
      </c>
      <c r="G49" s="51">
        <f>467.5*1415</f>
        <v>661512.5</v>
      </c>
      <c r="H49" s="51">
        <v>400264.2</v>
      </c>
      <c r="I49" s="51">
        <v>0</v>
      </c>
      <c r="J49" s="51"/>
      <c r="K49" s="51"/>
      <c r="L49" s="51"/>
      <c r="M49" s="51"/>
      <c r="N49" s="51"/>
      <c r="O49" s="51"/>
      <c r="P49" s="51"/>
      <c r="Q49" s="58">
        <f t="shared" si="5"/>
        <v>1231451.45</v>
      </c>
      <c r="S49" s="68"/>
    </row>
    <row r="50" spans="2:19" x14ac:dyDescent="0.2">
      <c r="B50" s="48" t="s">
        <v>402</v>
      </c>
      <c r="C50" s="49" t="s">
        <v>410</v>
      </c>
      <c r="D50" s="49" t="s">
        <v>411</v>
      </c>
      <c r="E50" s="57">
        <v>525000</v>
      </c>
      <c r="F50" s="51">
        <v>514500</v>
      </c>
      <c r="G50" s="51">
        <v>497000</v>
      </c>
      <c r="H50" s="51">
        <v>495250</v>
      </c>
      <c r="I50" s="51">
        <v>495250</v>
      </c>
      <c r="J50" s="51">
        <v>500500</v>
      </c>
      <c r="K50" s="51"/>
      <c r="L50" s="51"/>
      <c r="M50" s="57"/>
      <c r="N50" s="57"/>
      <c r="O50" s="51"/>
      <c r="P50" s="51"/>
      <c r="Q50" s="58">
        <f t="shared" si="5"/>
        <v>3027500</v>
      </c>
    </row>
    <row r="51" spans="2:19" x14ac:dyDescent="0.2">
      <c r="B51" s="48" t="s">
        <v>402</v>
      </c>
      <c r="C51" s="62" t="s">
        <v>412</v>
      </c>
      <c r="D51" s="62" t="s">
        <v>413</v>
      </c>
      <c r="E51" s="51">
        <v>0</v>
      </c>
      <c r="F51" s="51">
        <v>0</v>
      </c>
      <c r="G51" s="51">
        <v>0</v>
      </c>
      <c r="H51" s="51">
        <v>0</v>
      </c>
      <c r="I51" s="51"/>
      <c r="J51" s="51"/>
      <c r="K51" s="51"/>
      <c r="L51" s="51"/>
      <c r="M51" s="51"/>
      <c r="N51" s="51"/>
      <c r="O51" s="51"/>
      <c r="P51" s="51"/>
      <c r="Q51" s="58">
        <f t="shared" si="5"/>
        <v>0</v>
      </c>
    </row>
    <row r="52" spans="2:19" x14ac:dyDescent="0.2">
      <c r="B52" s="48" t="s">
        <v>402</v>
      </c>
      <c r="C52" s="62"/>
      <c r="D52" s="62" t="s">
        <v>414</v>
      </c>
      <c r="E52" s="51">
        <v>0</v>
      </c>
      <c r="F52" s="51">
        <v>500429.75</v>
      </c>
      <c r="G52" s="51">
        <f>30000+257595</f>
        <v>287595</v>
      </c>
      <c r="H52" s="51">
        <v>51644.34</v>
      </c>
      <c r="I52" s="51"/>
      <c r="J52" s="51"/>
      <c r="K52" s="51"/>
      <c r="L52" s="51"/>
      <c r="M52" s="51"/>
      <c r="N52" s="51"/>
      <c r="O52" s="51"/>
      <c r="P52" s="51"/>
      <c r="Q52" s="58">
        <f t="shared" si="5"/>
        <v>839669.09</v>
      </c>
    </row>
    <row r="53" spans="2:19" x14ac:dyDescent="0.2">
      <c r="B53" s="48" t="s">
        <v>402</v>
      </c>
      <c r="C53" s="62"/>
      <c r="D53" s="62" t="s">
        <v>415</v>
      </c>
      <c r="E53" s="51">
        <v>282706.59000000003</v>
      </c>
      <c r="F53" s="51">
        <v>0</v>
      </c>
      <c r="G53" s="51">
        <v>0</v>
      </c>
      <c r="H53" s="51">
        <v>140802.92000000001</v>
      </c>
      <c r="I53" s="51"/>
      <c r="J53" s="51"/>
      <c r="K53" s="51"/>
      <c r="L53" s="51"/>
      <c r="M53" s="51"/>
      <c r="N53" s="51"/>
      <c r="O53" s="51"/>
      <c r="P53" s="51"/>
      <c r="Q53" s="58">
        <f t="shared" si="5"/>
        <v>423509.51</v>
      </c>
    </row>
    <row r="54" spans="2:19" x14ac:dyDescent="0.2">
      <c r="B54" s="48" t="s">
        <v>402</v>
      </c>
      <c r="C54" s="62" t="s">
        <v>416</v>
      </c>
      <c r="D54" s="62" t="s">
        <v>417</v>
      </c>
      <c r="E54" s="51">
        <f>38552.04+119834.71+17963.8+95702.48+235000</f>
        <v>507053.02999999997</v>
      </c>
      <c r="F54" s="51">
        <f>91239.67+81000+53891.4+109917.36+245036.2+38492.56</f>
        <v>619577.18999999994</v>
      </c>
      <c r="G54" s="57">
        <f>44545.45+245036.2+206611.57+39809.95+26057.76+121605.43+41537.56+72024.43+165280.99+165280.99+165280.99+169311.74</f>
        <v>1462383.06</v>
      </c>
      <c r="H54" s="51">
        <v>123223.14</v>
      </c>
      <c r="I54" s="57">
        <f>27306.91</f>
        <v>27306.91</v>
      </c>
      <c r="J54" s="51">
        <f>175520.36+1039628.96</f>
        <v>1215149.3199999998</v>
      </c>
      <c r="K54" s="51"/>
      <c r="L54" s="51"/>
      <c r="M54" s="51"/>
      <c r="N54" s="57"/>
      <c r="O54" s="51"/>
      <c r="P54" s="51"/>
      <c r="Q54" s="58">
        <f t="shared" si="5"/>
        <v>3954692.6499999994</v>
      </c>
    </row>
    <row r="55" spans="2:19" x14ac:dyDescent="0.2">
      <c r="B55" s="48" t="s">
        <v>402</v>
      </c>
      <c r="C55" s="62" t="s">
        <v>418</v>
      </c>
      <c r="D55" s="62" t="s">
        <v>419</v>
      </c>
      <c r="E55" s="51">
        <f>393044.4+8270.9</f>
        <v>401315.30000000005</v>
      </c>
      <c r="F55" s="51">
        <v>0</v>
      </c>
      <c r="G55" s="51">
        <v>0</v>
      </c>
      <c r="H55" s="51">
        <v>101749</v>
      </c>
      <c r="I55" s="51"/>
      <c r="J55" s="51"/>
      <c r="K55" s="51"/>
      <c r="L55" s="51"/>
      <c r="M55" s="51"/>
      <c r="N55" s="51"/>
      <c r="O55" s="51"/>
      <c r="P55" s="51"/>
      <c r="Q55" s="58">
        <f t="shared" si="5"/>
        <v>503064.30000000005</v>
      </c>
    </row>
    <row r="56" spans="2:19" x14ac:dyDescent="0.2">
      <c r="B56" s="48" t="s">
        <v>402</v>
      </c>
      <c r="C56" s="62" t="s">
        <v>420</v>
      </c>
      <c r="D56" s="62" t="s">
        <v>421</v>
      </c>
      <c r="E56" s="51">
        <v>0</v>
      </c>
      <c r="F56" s="51">
        <v>0</v>
      </c>
      <c r="G56" s="51">
        <v>0</v>
      </c>
      <c r="H56" s="51">
        <v>0</v>
      </c>
      <c r="I56" s="51"/>
      <c r="J56" s="51"/>
      <c r="K56" s="51"/>
      <c r="L56" s="51"/>
      <c r="M56" s="51"/>
      <c r="N56" s="51"/>
      <c r="O56" s="51"/>
      <c r="P56" s="51"/>
      <c r="Q56" s="58">
        <f t="shared" si="5"/>
        <v>0</v>
      </c>
    </row>
    <row r="57" spans="2:19" x14ac:dyDescent="0.2">
      <c r="B57" s="48" t="s">
        <v>402</v>
      </c>
      <c r="C57" s="62" t="s">
        <v>422</v>
      </c>
      <c r="D57" s="62" t="s">
        <v>423</v>
      </c>
      <c r="E57" s="51">
        <v>0</v>
      </c>
      <c r="F57" s="51">
        <v>0</v>
      </c>
      <c r="G57" s="51">
        <v>0</v>
      </c>
      <c r="H57" s="51">
        <v>0</v>
      </c>
      <c r="I57" s="51"/>
      <c r="J57" s="51"/>
      <c r="K57" s="51"/>
      <c r="L57" s="51"/>
      <c r="M57" s="51"/>
      <c r="N57" s="51"/>
      <c r="O57" s="51"/>
      <c r="P57" s="51"/>
      <c r="Q57" s="58">
        <f t="shared" si="5"/>
        <v>0</v>
      </c>
    </row>
    <row r="58" spans="2:19" x14ac:dyDescent="0.2">
      <c r="B58" s="48" t="s">
        <v>402</v>
      </c>
      <c r="C58" s="62" t="s">
        <v>424</v>
      </c>
      <c r="D58" s="62" t="s">
        <v>423</v>
      </c>
      <c r="E58" s="51">
        <v>0</v>
      </c>
      <c r="F58" s="51">
        <v>0</v>
      </c>
      <c r="G58" s="51">
        <v>0</v>
      </c>
      <c r="H58" s="51">
        <v>0</v>
      </c>
      <c r="I58" s="51"/>
      <c r="J58" s="51"/>
      <c r="K58" s="51"/>
      <c r="L58" s="51"/>
      <c r="M58" s="51"/>
      <c r="N58" s="51"/>
      <c r="O58" s="51"/>
      <c r="P58" s="51"/>
      <c r="Q58" s="58">
        <f t="shared" si="5"/>
        <v>0</v>
      </c>
    </row>
    <row r="59" spans="2:19" x14ac:dyDescent="0.2">
      <c r="B59" s="48" t="s">
        <v>402</v>
      </c>
      <c r="C59" s="62" t="s">
        <v>425</v>
      </c>
      <c r="D59" s="62" t="s">
        <v>423</v>
      </c>
      <c r="E59" s="51">
        <v>0</v>
      </c>
      <c r="F59" s="51">
        <v>0</v>
      </c>
      <c r="G59" s="51">
        <v>0</v>
      </c>
      <c r="H59" s="51">
        <v>0</v>
      </c>
      <c r="I59" s="51"/>
      <c r="J59" s="51"/>
      <c r="K59" s="51"/>
      <c r="L59" s="51"/>
      <c r="M59" s="51"/>
      <c r="N59" s="51"/>
      <c r="O59" s="51"/>
      <c r="P59" s="51"/>
      <c r="Q59" s="58">
        <f t="shared" si="5"/>
        <v>0</v>
      </c>
    </row>
    <row r="60" spans="2:19" x14ac:dyDescent="0.2">
      <c r="B60" s="48" t="s">
        <v>402</v>
      </c>
      <c r="C60" s="62" t="s">
        <v>426</v>
      </c>
      <c r="D60" s="62" t="s">
        <v>427</v>
      </c>
      <c r="E60" s="51">
        <v>0</v>
      </c>
      <c r="F60" s="51">
        <v>0</v>
      </c>
      <c r="G60" s="51">
        <v>0</v>
      </c>
      <c r="H60" s="51">
        <v>0</v>
      </c>
      <c r="I60" s="51"/>
      <c r="J60" s="51"/>
      <c r="K60" s="51"/>
      <c r="L60" s="51"/>
      <c r="M60" s="51"/>
      <c r="N60" s="51"/>
      <c r="O60" s="51"/>
      <c r="P60" s="51"/>
      <c r="Q60" s="58">
        <f t="shared" si="5"/>
        <v>0</v>
      </c>
    </row>
    <row r="61" spans="2:19" x14ac:dyDescent="0.2">
      <c r="B61" s="48" t="s">
        <v>402</v>
      </c>
      <c r="C61" s="49" t="s">
        <v>428</v>
      </c>
      <c r="D61" s="62" t="s">
        <v>423</v>
      </c>
      <c r="E61" s="51">
        <v>0</v>
      </c>
      <c r="F61" s="51">
        <v>0</v>
      </c>
      <c r="G61" s="51">
        <v>0</v>
      </c>
      <c r="H61" s="51">
        <v>0</v>
      </c>
      <c r="I61" s="51"/>
      <c r="J61" s="51"/>
      <c r="K61" s="51"/>
      <c r="L61" s="51"/>
      <c r="M61" s="51"/>
      <c r="N61" s="51"/>
      <c r="O61" s="51"/>
      <c r="P61" s="51"/>
      <c r="Q61" s="58">
        <f t="shared" si="5"/>
        <v>0</v>
      </c>
    </row>
    <row r="62" spans="2:19" x14ac:dyDescent="0.2">
      <c r="B62" s="48" t="s">
        <v>402</v>
      </c>
      <c r="C62" s="62" t="s">
        <v>429</v>
      </c>
      <c r="D62" s="62" t="s">
        <v>430</v>
      </c>
      <c r="E62" s="51">
        <v>0</v>
      </c>
      <c r="F62" s="51">
        <v>0</v>
      </c>
      <c r="G62" s="51">
        <v>0</v>
      </c>
      <c r="H62" s="51">
        <v>0</v>
      </c>
      <c r="I62" s="51"/>
      <c r="J62" s="51"/>
      <c r="K62" s="51"/>
      <c r="L62" s="51"/>
      <c r="M62" s="51"/>
      <c r="N62" s="51"/>
      <c r="O62" s="51"/>
      <c r="P62" s="51"/>
      <c r="Q62" s="58">
        <f t="shared" si="5"/>
        <v>0</v>
      </c>
    </row>
    <row r="63" spans="2:19" x14ac:dyDescent="0.2">
      <c r="B63" s="48" t="s">
        <v>402</v>
      </c>
      <c r="C63" s="62" t="s">
        <v>429</v>
      </c>
      <c r="D63" s="62" t="s">
        <v>431</v>
      </c>
      <c r="E63" s="51">
        <v>0</v>
      </c>
      <c r="F63" s="51">
        <v>0</v>
      </c>
      <c r="G63" s="51">
        <v>121605.43</v>
      </c>
      <c r="H63" s="51">
        <v>0</v>
      </c>
      <c r="I63" s="51">
        <v>144459.73000000001</v>
      </c>
      <c r="J63" s="51"/>
      <c r="K63" s="51"/>
      <c r="L63" s="51"/>
      <c r="M63" s="51"/>
      <c r="N63" s="51"/>
      <c r="O63" s="51"/>
      <c r="P63" s="51"/>
      <c r="Q63" s="58">
        <f t="shared" si="5"/>
        <v>266065.16000000003</v>
      </c>
    </row>
    <row r="64" spans="2:19" x14ac:dyDescent="0.2">
      <c r="B64" s="76" t="s">
        <v>402</v>
      </c>
      <c r="C64" s="62" t="s">
        <v>724</v>
      </c>
      <c r="D64" s="62" t="s">
        <v>725</v>
      </c>
      <c r="E64" s="51"/>
      <c r="F64" s="51"/>
      <c r="G64" s="51"/>
      <c r="H64" s="51">
        <v>0</v>
      </c>
      <c r="I64" s="51">
        <v>123223.14</v>
      </c>
      <c r="J64" s="51"/>
      <c r="K64" s="51"/>
      <c r="L64" s="51"/>
      <c r="M64" s="51"/>
      <c r="N64" s="51"/>
      <c r="O64" s="51"/>
      <c r="P64" s="51"/>
      <c r="Q64" s="58"/>
    </row>
    <row r="65" spans="2:17" x14ac:dyDescent="0.2">
      <c r="B65" s="48" t="s">
        <v>402</v>
      </c>
      <c r="C65" s="49" t="s">
        <v>409</v>
      </c>
      <c r="D65" s="49" t="s">
        <v>432</v>
      </c>
      <c r="E65" s="51">
        <v>169674.75</v>
      </c>
      <c r="F65" s="51">
        <v>0</v>
      </c>
      <c r="G65" s="51">
        <v>0</v>
      </c>
      <c r="H65" s="51">
        <v>0</v>
      </c>
      <c r="I65" s="51"/>
      <c r="J65" s="51"/>
      <c r="K65" s="51"/>
      <c r="L65" s="51"/>
      <c r="M65" s="51"/>
      <c r="N65" s="51"/>
      <c r="O65" s="51"/>
      <c r="P65" s="51"/>
      <c r="Q65" s="58">
        <f t="shared" si="5"/>
        <v>169674.75</v>
      </c>
    </row>
    <row r="66" spans="2:17" x14ac:dyDescent="0.2">
      <c r="B66" s="48" t="s">
        <v>402</v>
      </c>
      <c r="C66" s="49" t="s">
        <v>427</v>
      </c>
      <c r="D66" s="49" t="s">
        <v>433</v>
      </c>
      <c r="E66" s="51">
        <v>406977</v>
      </c>
      <c r="F66" s="51">
        <v>0</v>
      </c>
      <c r="G66" s="51">
        <v>0</v>
      </c>
      <c r="H66" s="51">
        <v>0</v>
      </c>
      <c r="I66" s="51"/>
      <c r="J66" s="51"/>
      <c r="K66" s="51"/>
      <c r="L66" s="51"/>
      <c r="M66" s="51"/>
      <c r="N66" s="51"/>
      <c r="O66" s="51"/>
      <c r="P66" s="51"/>
      <c r="Q66" s="58">
        <f t="shared" si="5"/>
        <v>406977</v>
      </c>
    </row>
    <row r="67" spans="2:17" x14ac:dyDescent="0.2">
      <c r="B67" s="48" t="s">
        <v>402</v>
      </c>
      <c r="C67" s="49"/>
      <c r="D67" s="49" t="s">
        <v>434</v>
      </c>
      <c r="E67" s="51">
        <v>0</v>
      </c>
      <c r="F67" s="51">
        <v>0</v>
      </c>
      <c r="G67" s="51">
        <v>0</v>
      </c>
      <c r="H67" s="51">
        <v>514327.81</v>
      </c>
      <c r="I67" s="51"/>
      <c r="J67" s="51"/>
      <c r="K67" s="51"/>
      <c r="L67" s="51"/>
      <c r="M67" s="51"/>
      <c r="N67" s="51"/>
      <c r="O67" s="51"/>
      <c r="P67" s="51"/>
      <c r="Q67" s="58">
        <f t="shared" si="5"/>
        <v>514327.81</v>
      </c>
    </row>
    <row r="68" spans="2:17" x14ac:dyDescent="0.2">
      <c r="B68" s="48" t="s">
        <v>402</v>
      </c>
      <c r="C68" s="49"/>
      <c r="D68" s="49" t="s">
        <v>435</v>
      </c>
      <c r="E68" s="51">
        <v>0</v>
      </c>
      <c r="F68" s="51">
        <v>0</v>
      </c>
      <c r="G68" s="51">
        <v>0</v>
      </c>
      <c r="H68" s="51">
        <f>285949.59+285949.59</f>
        <v>571899.18000000005</v>
      </c>
      <c r="I68" s="51"/>
      <c r="J68" s="51"/>
      <c r="K68" s="51"/>
      <c r="L68" s="51"/>
      <c r="M68" s="51"/>
      <c r="N68" s="51"/>
      <c r="O68" s="51"/>
      <c r="P68" s="51"/>
      <c r="Q68" s="58">
        <f t="shared" si="5"/>
        <v>571899.18000000005</v>
      </c>
    </row>
    <row r="69" spans="2:17" x14ac:dyDescent="0.2">
      <c r="B69" s="48" t="s">
        <v>402</v>
      </c>
      <c r="C69" s="49" t="s">
        <v>436</v>
      </c>
      <c r="D69" s="49" t="s">
        <v>437</v>
      </c>
      <c r="E69" s="51">
        <v>0</v>
      </c>
      <c r="F69" s="51">
        <v>0</v>
      </c>
      <c r="G69" s="51">
        <v>0</v>
      </c>
      <c r="H69" s="51">
        <f>+(200+92.4)*1420</f>
        <v>415207.99999999994</v>
      </c>
      <c r="I69" s="51">
        <f>279.08*1440</f>
        <v>401875.19999999995</v>
      </c>
      <c r="J69" s="51"/>
      <c r="K69" s="51"/>
      <c r="L69" s="51"/>
      <c r="M69" s="51"/>
      <c r="N69" s="51"/>
      <c r="O69" s="51"/>
      <c r="P69" s="51"/>
      <c r="Q69" s="58">
        <f t="shared" si="5"/>
        <v>817083.2</v>
      </c>
    </row>
    <row r="70" spans="2:17" x14ac:dyDescent="0.2">
      <c r="B70" s="48" t="s">
        <v>402</v>
      </c>
      <c r="C70" s="49" t="s">
        <v>726</v>
      </c>
      <c r="D70" s="49" t="s">
        <v>727</v>
      </c>
      <c r="E70" s="51"/>
      <c r="F70" s="51"/>
      <c r="G70" s="51"/>
      <c r="H70" s="51"/>
      <c r="I70" s="51">
        <f>20*1440</f>
        <v>28800</v>
      </c>
      <c r="J70" s="51"/>
      <c r="K70" s="51"/>
      <c r="L70" s="51"/>
      <c r="M70" s="51"/>
      <c r="N70" s="51"/>
      <c r="O70" s="51"/>
      <c r="P70" s="51"/>
      <c r="Q70" s="58"/>
    </row>
    <row r="71" spans="2:17" x14ac:dyDescent="0.2">
      <c r="B71" s="48" t="s">
        <v>402</v>
      </c>
      <c r="C71" s="49" t="s">
        <v>728</v>
      </c>
      <c r="D71" s="49" t="s">
        <v>437</v>
      </c>
      <c r="E71" s="51"/>
      <c r="F71" s="51"/>
      <c r="G71" s="51"/>
      <c r="H71" s="51"/>
      <c r="I71" s="51">
        <f>20*1440</f>
        <v>28800</v>
      </c>
      <c r="J71" s="51"/>
      <c r="K71" s="51"/>
      <c r="L71" s="51"/>
      <c r="M71" s="51"/>
      <c r="N71" s="51"/>
      <c r="O71" s="51"/>
      <c r="P71" s="51"/>
      <c r="Q71" s="58"/>
    </row>
    <row r="72" spans="2:17" x14ac:dyDescent="0.2">
      <c r="B72" s="48" t="s">
        <v>402</v>
      </c>
      <c r="C72" s="49" t="s">
        <v>438</v>
      </c>
      <c r="D72" s="49" t="s">
        <v>439</v>
      </c>
      <c r="E72" s="51">
        <v>0</v>
      </c>
      <c r="F72" s="51">
        <v>0</v>
      </c>
      <c r="G72" s="51">
        <v>0</v>
      </c>
      <c r="H72" s="51">
        <v>8500</v>
      </c>
      <c r="I72" s="51"/>
      <c r="J72" s="51"/>
      <c r="K72" s="51"/>
      <c r="L72" s="51"/>
      <c r="M72" s="51"/>
      <c r="N72" s="51"/>
      <c r="O72" s="51"/>
      <c r="P72" s="51"/>
      <c r="Q72" s="58">
        <f t="shared" si="5"/>
        <v>8500</v>
      </c>
    </row>
    <row r="73" spans="2:17" x14ac:dyDescent="0.2">
      <c r="B73" s="48" t="s">
        <v>402</v>
      </c>
      <c r="C73" s="49" t="s">
        <v>729</v>
      </c>
      <c r="D73" s="49" t="s">
        <v>441</v>
      </c>
      <c r="E73" s="51"/>
      <c r="F73" s="51"/>
      <c r="G73" s="51"/>
      <c r="H73" s="51"/>
      <c r="I73" s="51">
        <f>25.79*1465</f>
        <v>37782.35</v>
      </c>
      <c r="J73" s="51"/>
      <c r="K73" s="51"/>
      <c r="L73" s="51"/>
      <c r="M73" s="51"/>
      <c r="N73" s="51"/>
      <c r="O73" s="51"/>
      <c r="P73" s="51"/>
      <c r="Q73" s="58"/>
    </row>
    <row r="74" spans="2:17" x14ac:dyDescent="0.2">
      <c r="B74" s="48" t="s">
        <v>402</v>
      </c>
      <c r="C74" s="49" t="s">
        <v>440</v>
      </c>
      <c r="D74" s="49" t="s">
        <v>441</v>
      </c>
      <c r="E74" s="51">
        <v>0</v>
      </c>
      <c r="F74" s="51">
        <v>0</v>
      </c>
      <c r="G74" s="51">
        <v>0</v>
      </c>
      <c r="H74" s="51">
        <f>7.16*1420</f>
        <v>10167.200000000001</v>
      </c>
      <c r="I74" s="51">
        <f>59.4*1465</f>
        <v>87021</v>
      </c>
      <c r="J74" s="51"/>
      <c r="K74" s="51"/>
      <c r="L74" s="51"/>
      <c r="M74" s="51"/>
      <c r="N74" s="51"/>
      <c r="O74" s="51"/>
      <c r="P74" s="51"/>
      <c r="Q74" s="58">
        <f t="shared" si="5"/>
        <v>97188.2</v>
      </c>
    </row>
    <row r="75" spans="2:17" x14ac:dyDescent="0.2">
      <c r="B75" s="48" t="s">
        <v>402</v>
      </c>
      <c r="C75" s="62" t="s">
        <v>442</v>
      </c>
      <c r="D75" s="49" t="s">
        <v>443</v>
      </c>
      <c r="E75" s="51">
        <v>0</v>
      </c>
      <c r="F75" s="51">
        <v>0</v>
      </c>
      <c r="G75" s="51">
        <v>0</v>
      </c>
      <c r="H75" s="57">
        <v>38271.08</v>
      </c>
      <c r="I75" s="51"/>
      <c r="J75" s="51"/>
      <c r="K75" s="51"/>
      <c r="L75" s="51"/>
      <c r="M75" s="51"/>
      <c r="N75" s="51"/>
      <c r="O75" s="51"/>
      <c r="P75" s="51"/>
      <c r="Q75" s="58">
        <f t="shared" si="5"/>
        <v>38271.08</v>
      </c>
    </row>
    <row r="76" spans="2:17" x14ac:dyDescent="0.2">
      <c r="B76" s="48" t="s">
        <v>402</v>
      </c>
      <c r="C76" s="49" t="s">
        <v>444</v>
      </c>
      <c r="D76" s="49" t="s">
        <v>445</v>
      </c>
      <c r="E76" s="51">
        <v>0</v>
      </c>
      <c r="F76" s="51">
        <v>0</v>
      </c>
      <c r="G76" s="51">
        <v>0</v>
      </c>
      <c r="H76" s="57">
        <v>210743.8</v>
      </c>
      <c r="I76" s="51"/>
      <c r="J76" s="51"/>
      <c r="K76" s="51"/>
      <c r="L76" s="51"/>
      <c r="M76" s="51"/>
      <c r="N76" s="51"/>
      <c r="O76" s="51"/>
      <c r="P76" s="51"/>
      <c r="Q76" s="58">
        <f t="shared" si="5"/>
        <v>210743.8</v>
      </c>
    </row>
    <row r="77" spans="2:17" x14ac:dyDescent="0.2">
      <c r="B77" s="48" t="s">
        <v>402</v>
      </c>
      <c r="C77" s="49" t="s">
        <v>446</v>
      </c>
      <c r="D77" s="49" t="s">
        <v>447</v>
      </c>
      <c r="E77" s="51">
        <v>0</v>
      </c>
      <c r="F77" s="51">
        <v>0</v>
      </c>
      <c r="G77" s="51">
        <v>0</v>
      </c>
      <c r="H77" s="51">
        <v>0</v>
      </c>
      <c r="I77" s="51">
        <v>6773553.7199999997</v>
      </c>
      <c r="J77" s="51"/>
      <c r="K77" s="51"/>
      <c r="L77" s="51"/>
      <c r="M77" s="51"/>
      <c r="N77" s="51"/>
      <c r="O77" s="51"/>
      <c r="P77" s="51"/>
      <c r="Q77" s="58">
        <f t="shared" si="5"/>
        <v>6773553.7199999997</v>
      </c>
    </row>
    <row r="78" spans="2:17" x14ac:dyDescent="0.2">
      <c r="B78" s="48"/>
      <c r="C78" s="49"/>
      <c r="D78" s="49" t="s">
        <v>448</v>
      </c>
      <c r="E78" s="51"/>
      <c r="F78" s="51"/>
      <c r="G78" s="51"/>
      <c r="H78" s="51"/>
      <c r="I78" s="51">
        <v>450000</v>
      </c>
      <c r="J78" s="51"/>
      <c r="K78" s="51"/>
      <c r="L78" s="51"/>
      <c r="M78" s="51"/>
      <c r="N78" s="51"/>
      <c r="O78" s="51"/>
      <c r="P78" s="51"/>
      <c r="Q78" s="58"/>
    </row>
    <row r="79" spans="2:17" ht="12.75" thickBot="1" x14ac:dyDescent="0.25">
      <c r="B79" s="48" t="s">
        <v>402</v>
      </c>
      <c r="C79" s="49"/>
      <c r="D79" s="62" t="s">
        <v>449</v>
      </c>
      <c r="E79" s="51">
        <v>0</v>
      </c>
      <c r="F79" s="51">
        <v>0</v>
      </c>
      <c r="G79" s="51">
        <v>0</v>
      </c>
      <c r="H79" s="51">
        <v>0</v>
      </c>
      <c r="I79" s="51">
        <v>123618.1</v>
      </c>
      <c r="J79" s="51">
        <v>247236.2</v>
      </c>
      <c r="K79" s="51"/>
      <c r="L79" s="51"/>
      <c r="M79" s="51"/>
      <c r="N79" s="51"/>
      <c r="O79" s="51"/>
      <c r="P79" s="51"/>
      <c r="Q79" s="58">
        <f t="shared" si="5"/>
        <v>370854.30000000005</v>
      </c>
    </row>
    <row r="80" spans="2:17" ht="13.5" thickTop="1" thickBot="1" x14ac:dyDescent="0.25">
      <c r="B80" s="163" t="s">
        <v>450</v>
      </c>
      <c r="C80" s="164"/>
      <c r="D80" s="165"/>
      <c r="E80" s="55">
        <f>SUM(E46:E77)</f>
        <v>6033158.2799999993</v>
      </c>
      <c r="F80" s="55">
        <f>SUM(F46:F77)</f>
        <v>5205263.7999999989</v>
      </c>
      <c r="G80" s="55">
        <f>SUM(G46:G77)</f>
        <v>7534089.5199999996</v>
      </c>
      <c r="H80" s="55">
        <f>SUM(H46:H77)</f>
        <v>8091380.9666666659</v>
      </c>
      <c r="I80" s="55">
        <f t="shared" ref="I80:Q80" si="6">SUM(I46:I79)</f>
        <v>13791020.446666667</v>
      </c>
      <c r="J80" s="55">
        <f t="shared" si="6"/>
        <v>2758122.1866666665</v>
      </c>
      <c r="K80" s="55">
        <f t="shared" si="6"/>
        <v>795236.66666666663</v>
      </c>
      <c r="L80" s="55">
        <f t="shared" si="6"/>
        <v>795236.66666666663</v>
      </c>
      <c r="M80" s="55">
        <f t="shared" si="6"/>
        <v>0</v>
      </c>
      <c r="N80" s="55">
        <f t="shared" si="6"/>
        <v>0</v>
      </c>
      <c r="O80" s="55">
        <f t="shared" si="6"/>
        <v>0</v>
      </c>
      <c r="P80" s="55">
        <f t="shared" si="6"/>
        <v>0</v>
      </c>
      <c r="Q80" s="55">
        <f t="shared" si="6"/>
        <v>44334903.043333329</v>
      </c>
    </row>
    <row r="81" spans="2:17" ht="12.75" thickTop="1" x14ac:dyDescent="0.2"/>
    <row r="82" spans="2:17" x14ac:dyDescent="0.2">
      <c r="E82" s="65"/>
    </row>
    <row r="83" spans="2:17" s="44" customFormat="1" x14ac:dyDescent="0.25">
      <c r="B83" s="46" t="s">
        <v>361</v>
      </c>
      <c r="C83" s="46" t="s">
        <v>362</v>
      </c>
      <c r="D83" s="46" t="s">
        <v>363</v>
      </c>
      <c r="E83" s="47">
        <v>46023</v>
      </c>
      <c r="F83" s="47">
        <v>46054</v>
      </c>
      <c r="G83" s="47">
        <v>46082</v>
      </c>
      <c r="H83" s="47">
        <v>46113</v>
      </c>
      <c r="I83" s="47">
        <v>46143</v>
      </c>
      <c r="J83" s="47">
        <v>46174</v>
      </c>
      <c r="K83" s="47">
        <v>46204</v>
      </c>
      <c r="L83" s="47">
        <v>46235</v>
      </c>
      <c r="M83" s="47">
        <v>46266</v>
      </c>
      <c r="N83" s="47">
        <v>46296</v>
      </c>
      <c r="O83" s="47">
        <v>46327</v>
      </c>
      <c r="P83" s="47">
        <v>46357</v>
      </c>
    </row>
    <row r="84" spans="2:17" x14ac:dyDescent="0.2">
      <c r="B84" s="48" t="s">
        <v>451</v>
      </c>
      <c r="C84" s="49" t="s">
        <v>452</v>
      </c>
      <c r="D84" s="49" t="s">
        <v>453</v>
      </c>
      <c r="E84" s="66">
        <v>14005898</v>
      </c>
      <c r="F84" s="66">
        <v>14005898</v>
      </c>
      <c r="G84" s="66">
        <v>14005898</v>
      </c>
      <c r="H84" s="51">
        <v>14005898</v>
      </c>
      <c r="I84" s="51">
        <v>14005898</v>
      </c>
      <c r="J84" s="57"/>
      <c r="K84" s="66"/>
      <c r="L84" s="66"/>
      <c r="M84" s="66"/>
      <c r="N84" s="66"/>
      <c r="O84" s="66"/>
      <c r="P84" s="66"/>
      <c r="Q84" s="53">
        <f t="shared" ref="Q84:Q90" si="7">+P84+O84+N84+M84+L84+K84+J84+I84+H84+G84+F84+E84</f>
        <v>70029490</v>
      </c>
    </row>
    <row r="85" spans="2:17" x14ac:dyDescent="0.2">
      <c r="B85" s="48" t="s">
        <v>451</v>
      </c>
      <c r="C85" s="49" t="s">
        <v>452</v>
      </c>
      <c r="D85" s="49" t="s">
        <v>454</v>
      </c>
      <c r="E85" s="66">
        <f>1785671.8/2</f>
        <v>892835.9</v>
      </c>
      <c r="F85" s="66">
        <f>1785671.8/2</f>
        <v>892835.9</v>
      </c>
      <c r="G85" s="51">
        <f>1785671.8/2</f>
        <v>892835.9</v>
      </c>
      <c r="H85" s="57">
        <f>1785671.8/2</f>
        <v>892835.9</v>
      </c>
      <c r="I85" s="66">
        <f>1882552.5/2</f>
        <v>941276.25</v>
      </c>
      <c r="J85" s="66">
        <f>1882552.5/2</f>
        <v>941276.25</v>
      </c>
      <c r="K85" s="57"/>
      <c r="L85" s="66"/>
      <c r="M85" s="66"/>
      <c r="N85" s="57"/>
      <c r="O85" s="66"/>
      <c r="P85" s="66"/>
      <c r="Q85" s="53">
        <f t="shared" si="7"/>
        <v>5453896.1000000006</v>
      </c>
    </row>
    <row r="86" spans="2:17" x14ac:dyDescent="0.2">
      <c r="B86" s="48" t="s">
        <v>451</v>
      </c>
      <c r="C86" s="49" t="s">
        <v>287</v>
      </c>
      <c r="D86" s="49" t="s">
        <v>455</v>
      </c>
      <c r="E86" s="57">
        <v>9257283.0600000005</v>
      </c>
      <c r="F86" s="57">
        <v>9257283.0600000005</v>
      </c>
      <c r="G86" s="57">
        <v>9257283.0600000005</v>
      </c>
      <c r="H86" s="57">
        <v>10131170.58</v>
      </c>
      <c r="I86" s="51">
        <v>10131170.58</v>
      </c>
      <c r="J86" s="51">
        <v>10131170.58</v>
      </c>
      <c r="K86" s="57"/>
      <c r="L86" s="51"/>
      <c r="M86" s="57"/>
      <c r="N86" s="57"/>
      <c r="O86" s="57"/>
      <c r="P86" s="51"/>
      <c r="Q86" s="58">
        <f t="shared" si="7"/>
        <v>58165360.920000009</v>
      </c>
    </row>
    <row r="87" spans="2:17" x14ac:dyDescent="0.2">
      <c r="B87" s="48" t="s">
        <v>451</v>
      </c>
      <c r="C87" s="49" t="s">
        <v>287</v>
      </c>
      <c r="D87" s="49" t="s">
        <v>456</v>
      </c>
      <c r="E87" s="57">
        <v>4604450.57</v>
      </c>
      <c r="F87" s="69">
        <v>5672178.04</v>
      </c>
      <c r="G87" s="57">
        <v>4929611.18</v>
      </c>
      <c r="H87" s="57">
        <v>4262740.68</v>
      </c>
      <c r="I87" s="70">
        <v>4770673.6500000004</v>
      </c>
      <c r="J87" s="57"/>
      <c r="K87" s="57"/>
      <c r="L87" s="51"/>
      <c r="M87" s="57"/>
      <c r="N87" s="57"/>
      <c r="O87" s="57"/>
      <c r="P87" s="51"/>
      <c r="Q87" s="58">
        <f t="shared" si="7"/>
        <v>24239654.120000001</v>
      </c>
    </row>
    <row r="88" spans="2:17" x14ac:dyDescent="0.2">
      <c r="B88" s="48" t="s">
        <v>451</v>
      </c>
      <c r="C88" s="49"/>
      <c r="D88" s="49"/>
      <c r="E88" s="57">
        <v>0</v>
      </c>
      <c r="F88" s="57">
        <v>0</v>
      </c>
      <c r="G88" s="57">
        <v>0</v>
      </c>
      <c r="H88" s="71"/>
      <c r="I88" s="51"/>
      <c r="J88" s="51"/>
      <c r="K88" s="66"/>
      <c r="L88" s="66"/>
      <c r="M88" s="51"/>
      <c r="N88" s="51"/>
      <c r="O88" s="51"/>
      <c r="P88" s="51"/>
      <c r="Q88" s="58">
        <f t="shared" si="7"/>
        <v>0</v>
      </c>
    </row>
    <row r="89" spans="2:17" x14ac:dyDescent="0.2">
      <c r="B89" s="48" t="s">
        <v>451</v>
      </c>
      <c r="C89" s="49"/>
      <c r="D89" s="49"/>
      <c r="E89" s="57">
        <v>0</v>
      </c>
      <c r="F89" s="57">
        <v>0</v>
      </c>
      <c r="G89" s="57">
        <v>0</v>
      </c>
      <c r="H89" s="72"/>
      <c r="I89" s="66"/>
      <c r="J89" s="66"/>
      <c r="K89" s="66"/>
      <c r="L89" s="66"/>
      <c r="M89" s="51"/>
      <c r="N89" s="51"/>
      <c r="O89" s="51"/>
      <c r="P89" s="51"/>
      <c r="Q89" s="53">
        <f t="shared" si="7"/>
        <v>0</v>
      </c>
    </row>
    <row r="90" spans="2:17" ht="12.75" thickBot="1" x14ac:dyDescent="0.25">
      <c r="B90" s="48" t="s">
        <v>451</v>
      </c>
      <c r="C90" s="49"/>
      <c r="D90" s="49"/>
      <c r="E90" s="57">
        <v>0</v>
      </c>
      <c r="F90" s="57">
        <v>0</v>
      </c>
      <c r="G90" s="57">
        <v>0</v>
      </c>
      <c r="H90" s="66"/>
      <c r="I90" s="66"/>
      <c r="J90" s="66"/>
      <c r="K90" s="66"/>
      <c r="L90" s="66"/>
      <c r="M90" s="51"/>
      <c r="N90" s="51"/>
      <c r="O90" s="51"/>
      <c r="P90" s="51"/>
      <c r="Q90" s="53">
        <f t="shared" si="7"/>
        <v>0</v>
      </c>
    </row>
    <row r="91" spans="2:17" ht="13.5" thickTop="1" thickBot="1" x14ac:dyDescent="0.25">
      <c r="B91" s="163" t="s">
        <v>457</v>
      </c>
      <c r="C91" s="164"/>
      <c r="D91" s="165"/>
      <c r="E91" s="55">
        <f t="shared" ref="E91:Q91" si="8">SUM(E84:E90)</f>
        <v>28760467.530000001</v>
      </c>
      <c r="F91" s="55">
        <f t="shared" si="8"/>
        <v>29828195</v>
      </c>
      <c r="G91" s="55">
        <f t="shared" si="8"/>
        <v>29085628.140000001</v>
      </c>
      <c r="H91" s="55">
        <f t="shared" si="8"/>
        <v>29292645.16</v>
      </c>
      <c r="I91" s="55">
        <f>SUM(I84:I90)</f>
        <v>29849018.479999997</v>
      </c>
      <c r="J91" s="55">
        <f t="shared" si="8"/>
        <v>11072446.83</v>
      </c>
      <c r="K91" s="55">
        <f t="shared" si="8"/>
        <v>0</v>
      </c>
      <c r="L91" s="55">
        <f t="shared" si="8"/>
        <v>0</v>
      </c>
      <c r="M91" s="55">
        <f t="shared" si="8"/>
        <v>0</v>
      </c>
      <c r="N91" s="55">
        <f t="shared" si="8"/>
        <v>0</v>
      </c>
      <c r="O91" s="55">
        <f t="shared" si="8"/>
        <v>0</v>
      </c>
      <c r="P91" s="55">
        <f t="shared" si="8"/>
        <v>0</v>
      </c>
      <c r="Q91" s="55">
        <f t="shared" si="8"/>
        <v>157888401.14000002</v>
      </c>
    </row>
    <row r="92" spans="2:17" ht="12.75" thickTop="1" x14ac:dyDescent="0.2">
      <c r="D92" s="73"/>
      <c r="L92" s="65"/>
      <c r="M92" s="65"/>
    </row>
    <row r="93" spans="2:17" x14ac:dyDescent="0.2">
      <c r="F93" s="74"/>
      <c r="G93" s="75"/>
      <c r="H93" s="65"/>
      <c r="I93" s="64"/>
      <c r="J93" s="64"/>
      <c r="K93" s="74"/>
      <c r="L93" s="67"/>
      <c r="N93" s="67"/>
    </row>
    <row r="94" spans="2:17" s="44" customFormat="1" x14ac:dyDescent="0.25">
      <c r="B94" s="46" t="s">
        <v>361</v>
      </c>
      <c r="C94" s="46" t="s">
        <v>362</v>
      </c>
      <c r="D94" s="46" t="s">
        <v>363</v>
      </c>
      <c r="E94" s="47">
        <v>46023</v>
      </c>
      <c r="F94" s="47">
        <v>46054</v>
      </c>
      <c r="G94" s="47">
        <v>46082</v>
      </c>
      <c r="H94" s="47">
        <v>46113</v>
      </c>
      <c r="I94" s="47">
        <v>46143</v>
      </c>
      <c r="J94" s="47">
        <v>46174</v>
      </c>
      <c r="K94" s="47">
        <v>46204</v>
      </c>
      <c r="L94" s="47">
        <v>46235</v>
      </c>
      <c r="M94" s="47">
        <v>46266</v>
      </c>
      <c r="N94" s="47">
        <v>46296</v>
      </c>
      <c r="O94" s="47">
        <v>46327</v>
      </c>
      <c r="P94" s="47">
        <v>46357</v>
      </c>
    </row>
    <row r="95" spans="2:17" x14ac:dyDescent="0.2">
      <c r="B95" s="48" t="s">
        <v>458</v>
      </c>
      <c r="C95" s="49" t="s">
        <v>288</v>
      </c>
      <c r="D95" s="49" t="s">
        <v>459</v>
      </c>
      <c r="E95" s="57">
        <v>5101200</v>
      </c>
      <c r="F95" s="57">
        <v>5101200</v>
      </c>
      <c r="G95" s="57">
        <v>5101200</v>
      </c>
      <c r="H95" s="57">
        <v>5101200</v>
      </c>
      <c r="I95" s="57">
        <v>5101200</v>
      </c>
      <c r="J95" s="57"/>
      <c r="K95" s="57"/>
      <c r="L95" s="57"/>
      <c r="M95" s="57"/>
      <c r="N95" s="57"/>
      <c r="O95" s="57"/>
      <c r="P95" s="57"/>
      <c r="Q95" s="58">
        <f t="shared" ref="Q95:Q111" si="9">+P95+O95+N95+M95+L95+K95+J95+I95+H95+G95+F95+E95</f>
        <v>25506000</v>
      </c>
    </row>
    <row r="96" spans="2:17" x14ac:dyDescent="0.2">
      <c r="B96" s="48" t="s">
        <v>458</v>
      </c>
      <c r="C96" s="49" t="s">
        <v>460</v>
      </c>
      <c r="D96" s="49" t="s">
        <v>461</v>
      </c>
      <c r="E96" s="57">
        <v>5087385.17</v>
      </c>
      <c r="F96" s="51">
        <v>5087385.17</v>
      </c>
      <c r="G96" s="51">
        <v>5087385.17</v>
      </c>
      <c r="H96" s="51">
        <v>5569669.5599999996</v>
      </c>
      <c r="I96" s="51">
        <v>2130000</v>
      </c>
      <c r="J96" s="51">
        <v>2130000</v>
      </c>
      <c r="K96" s="51"/>
      <c r="L96" s="51"/>
      <c r="M96" s="57"/>
      <c r="N96" s="57"/>
      <c r="O96" s="57"/>
      <c r="P96" s="57"/>
      <c r="Q96" s="58">
        <f t="shared" si="9"/>
        <v>25091825.07</v>
      </c>
    </row>
    <row r="97" spans="2:17" x14ac:dyDescent="0.2">
      <c r="B97" s="48" t="s">
        <v>458</v>
      </c>
      <c r="C97" s="49" t="s">
        <v>460</v>
      </c>
      <c r="D97" s="49" t="s">
        <v>462</v>
      </c>
      <c r="E97" s="57">
        <v>0</v>
      </c>
      <c r="F97" s="57">
        <v>0</v>
      </c>
      <c r="G97" s="57">
        <v>280000</v>
      </c>
      <c r="H97" s="57">
        <v>0</v>
      </c>
      <c r="I97" s="57">
        <v>0</v>
      </c>
      <c r="J97" s="57"/>
      <c r="K97" s="51"/>
      <c r="L97" s="57"/>
      <c r="M97" s="57"/>
      <c r="N97" s="57"/>
      <c r="O97" s="57"/>
      <c r="P97" s="57"/>
      <c r="Q97" s="58">
        <f t="shared" si="9"/>
        <v>280000</v>
      </c>
    </row>
    <row r="98" spans="2:17" s="77" customFormat="1" x14ac:dyDescent="0.2">
      <c r="B98" s="76" t="s">
        <v>458</v>
      </c>
      <c r="C98" s="49" t="s">
        <v>460</v>
      </c>
      <c r="D98" s="62" t="s">
        <v>463</v>
      </c>
      <c r="E98" s="57">
        <v>0</v>
      </c>
      <c r="F98" s="57">
        <v>0</v>
      </c>
      <c r="G98" s="51">
        <v>0</v>
      </c>
      <c r="H98" s="57">
        <v>0</v>
      </c>
      <c r="I98" s="57">
        <v>0</v>
      </c>
      <c r="J98" s="57"/>
      <c r="K98" s="57"/>
      <c r="L98" s="57"/>
      <c r="M98" s="57"/>
      <c r="N98" s="57"/>
      <c r="O98" s="57"/>
      <c r="P98" s="51"/>
      <c r="Q98" s="58">
        <f t="shared" si="9"/>
        <v>0</v>
      </c>
    </row>
    <row r="99" spans="2:17" s="77" customFormat="1" x14ac:dyDescent="0.2">
      <c r="B99" s="76" t="s">
        <v>458</v>
      </c>
      <c r="C99" s="49" t="s">
        <v>460</v>
      </c>
      <c r="D99" s="62" t="s">
        <v>464</v>
      </c>
      <c r="E99" s="57">
        <v>166709.4</v>
      </c>
      <c r="F99" s="51">
        <v>179682.44</v>
      </c>
      <c r="G99" s="51">
        <v>179682.44</v>
      </c>
      <c r="H99" s="51">
        <v>179682.44</v>
      </c>
      <c r="I99" s="57">
        <v>196716.34</v>
      </c>
      <c r="J99" s="57"/>
      <c r="K99" s="57"/>
      <c r="L99" s="57"/>
      <c r="M99" s="57"/>
      <c r="N99" s="51"/>
      <c r="O99" s="51"/>
      <c r="P99" s="51"/>
      <c r="Q99" s="58">
        <f t="shared" si="9"/>
        <v>902473.05999999994</v>
      </c>
    </row>
    <row r="100" spans="2:17" s="77" customFormat="1" x14ac:dyDescent="0.2">
      <c r="B100" s="76" t="s">
        <v>458</v>
      </c>
      <c r="C100" s="49" t="s">
        <v>460</v>
      </c>
      <c r="D100" s="62" t="s">
        <v>465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/>
      <c r="K100" s="57"/>
      <c r="L100" s="57"/>
      <c r="M100" s="57"/>
      <c r="N100" s="57"/>
      <c r="O100" s="57"/>
      <c r="P100" s="51"/>
      <c r="Q100" s="58">
        <f t="shared" si="9"/>
        <v>0</v>
      </c>
    </row>
    <row r="101" spans="2:17" s="77" customFormat="1" x14ac:dyDescent="0.2">
      <c r="B101" s="76" t="s">
        <v>458</v>
      </c>
      <c r="C101" s="49" t="s">
        <v>460</v>
      </c>
      <c r="D101" s="62" t="s">
        <v>466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/>
      <c r="K101" s="57"/>
      <c r="L101" s="57"/>
      <c r="M101" s="57"/>
      <c r="N101" s="57"/>
      <c r="O101" s="51"/>
      <c r="P101" s="51"/>
      <c r="Q101" s="58">
        <f t="shared" si="9"/>
        <v>0</v>
      </c>
    </row>
    <row r="102" spans="2:17" s="77" customFormat="1" x14ac:dyDescent="0.2">
      <c r="B102" s="76" t="s">
        <v>458</v>
      </c>
      <c r="C102" s="49" t="s">
        <v>460</v>
      </c>
      <c r="D102" s="62" t="s">
        <v>467</v>
      </c>
      <c r="E102" s="57">
        <v>0</v>
      </c>
      <c r="F102" s="57">
        <v>1345000</v>
      </c>
      <c r="G102" s="57">
        <v>0</v>
      </c>
      <c r="H102" s="57">
        <v>0</v>
      </c>
      <c r="I102" s="57">
        <v>0</v>
      </c>
      <c r="J102" s="57"/>
      <c r="K102" s="57"/>
      <c r="L102" s="57"/>
      <c r="M102" s="57"/>
      <c r="N102" s="57"/>
      <c r="O102" s="57"/>
      <c r="P102" s="51"/>
      <c r="Q102" s="58">
        <f t="shared" si="9"/>
        <v>1345000</v>
      </c>
    </row>
    <row r="103" spans="2:17" x14ac:dyDescent="0.2">
      <c r="B103" s="48" t="s">
        <v>458</v>
      </c>
      <c r="C103" s="49" t="s">
        <v>468</v>
      </c>
      <c r="D103" s="49" t="s">
        <v>469</v>
      </c>
      <c r="E103" s="57">
        <v>326390</v>
      </c>
      <c r="F103" s="57">
        <v>335500</v>
      </c>
      <c r="G103" s="57">
        <v>345300</v>
      </c>
      <c r="H103" s="51">
        <v>0</v>
      </c>
      <c r="I103" s="57">
        <v>1100000</v>
      </c>
      <c r="J103" s="57"/>
      <c r="K103" s="57"/>
      <c r="L103" s="51"/>
      <c r="M103" s="57"/>
      <c r="N103" s="57"/>
      <c r="O103" s="57"/>
      <c r="P103" s="57"/>
      <c r="Q103" s="58">
        <f t="shared" si="9"/>
        <v>2107190</v>
      </c>
    </row>
    <row r="104" spans="2:17" x14ac:dyDescent="0.2">
      <c r="B104" s="48" t="s">
        <v>458</v>
      </c>
      <c r="C104" s="49" t="s">
        <v>470</v>
      </c>
      <c r="D104" s="49" t="s">
        <v>471</v>
      </c>
      <c r="E104" s="57">
        <v>0</v>
      </c>
      <c r="F104" s="57">
        <v>0</v>
      </c>
      <c r="G104" s="57">
        <f>2050*1410</f>
        <v>2890500</v>
      </c>
      <c r="H104" s="57">
        <v>0</v>
      </c>
      <c r="I104" s="57">
        <v>0</v>
      </c>
      <c r="J104" s="57"/>
      <c r="K104" s="57"/>
      <c r="L104" s="57"/>
      <c r="M104" s="57"/>
      <c r="N104" s="57"/>
      <c r="O104" s="57"/>
      <c r="P104" s="57"/>
      <c r="Q104" s="58">
        <f t="shared" si="9"/>
        <v>2890500</v>
      </c>
    </row>
    <row r="105" spans="2:17" x14ac:dyDescent="0.2">
      <c r="B105" s="48" t="s">
        <v>458</v>
      </c>
      <c r="C105" s="49" t="s">
        <v>472</v>
      </c>
      <c r="D105" s="49" t="s">
        <v>473</v>
      </c>
      <c r="E105" s="57">
        <v>45600</v>
      </c>
      <c r="F105" s="57">
        <v>0</v>
      </c>
      <c r="G105" s="57">
        <v>0</v>
      </c>
      <c r="H105" s="51">
        <v>168700</v>
      </c>
      <c r="I105" s="51">
        <v>1500000</v>
      </c>
      <c r="J105" s="57"/>
      <c r="K105" s="57"/>
      <c r="L105" s="57"/>
      <c r="M105" s="57"/>
      <c r="N105" s="57"/>
      <c r="O105" s="57"/>
      <c r="P105" s="57"/>
      <c r="Q105" s="58">
        <f t="shared" si="9"/>
        <v>1714300</v>
      </c>
    </row>
    <row r="106" spans="2:17" x14ac:dyDescent="0.2">
      <c r="B106" s="48" t="s">
        <v>458</v>
      </c>
      <c r="C106" s="49" t="s">
        <v>474</v>
      </c>
      <c r="D106" s="49" t="s">
        <v>475</v>
      </c>
      <c r="E106" s="57">
        <v>14876.04</v>
      </c>
      <c r="F106" s="57">
        <v>0</v>
      </c>
      <c r="G106" s="57">
        <v>0</v>
      </c>
      <c r="H106" s="51">
        <v>527440.84</v>
      </c>
      <c r="I106" s="51">
        <f>6611.6+14876.03</f>
        <v>21487.63</v>
      </c>
      <c r="J106" s="57">
        <f>8595.04+8595.04</f>
        <v>17190.080000000002</v>
      </c>
      <c r="K106" s="57"/>
      <c r="L106" s="57"/>
      <c r="M106" s="57"/>
      <c r="N106" s="57"/>
      <c r="O106" s="57"/>
      <c r="P106" s="57"/>
      <c r="Q106" s="58">
        <f t="shared" si="9"/>
        <v>580994.59</v>
      </c>
    </row>
    <row r="107" spans="2:17" x14ac:dyDescent="0.2">
      <c r="B107" s="48" t="s">
        <v>458</v>
      </c>
      <c r="C107" s="49" t="s">
        <v>476</v>
      </c>
      <c r="D107" s="49" t="s">
        <v>477</v>
      </c>
      <c r="E107" s="57">
        <v>0</v>
      </c>
      <c r="F107" s="57">
        <f>75206.61+115702.46+141322.32</f>
        <v>332231.39</v>
      </c>
      <c r="G107" s="57">
        <v>0</v>
      </c>
      <c r="H107" s="57">
        <v>0</v>
      </c>
      <c r="I107" s="57">
        <v>0</v>
      </c>
      <c r="J107" s="57"/>
      <c r="K107" s="57"/>
      <c r="L107" s="57"/>
      <c r="M107" s="57"/>
      <c r="N107" s="57"/>
      <c r="O107" s="57"/>
      <c r="P107" s="57"/>
      <c r="Q107" s="58">
        <f t="shared" si="9"/>
        <v>332231.39</v>
      </c>
    </row>
    <row r="108" spans="2:17" x14ac:dyDescent="0.2">
      <c r="B108" s="48" t="s">
        <v>458</v>
      </c>
      <c r="C108" s="49" t="s">
        <v>478</v>
      </c>
      <c r="D108" s="49" t="s">
        <v>469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1"/>
      <c r="K108" s="57"/>
      <c r="L108" s="57"/>
      <c r="M108" s="57"/>
      <c r="N108" s="57"/>
      <c r="O108" s="57"/>
      <c r="P108" s="57"/>
      <c r="Q108" s="58">
        <f t="shared" si="9"/>
        <v>0</v>
      </c>
    </row>
    <row r="109" spans="2:17" x14ac:dyDescent="0.2">
      <c r="B109" s="48" t="s">
        <v>458</v>
      </c>
      <c r="C109" s="49" t="s">
        <v>479</v>
      </c>
      <c r="D109" s="49" t="s">
        <v>480</v>
      </c>
      <c r="E109" s="57">
        <v>7000000</v>
      </c>
      <c r="F109" s="57">
        <v>7000000</v>
      </c>
      <c r="G109" s="57">
        <v>0</v>
      </c>
      <c r="H109" s="57">
        <v>0</v>
      </c>
      <c r="I109" s="57">
        <v>0</v>
      </c>
      <c r="J109" s="51"/>
      <c r="K109" s="57"/>
      <c r="L109" s="57"/>
      <c r="M109" s="57"/>
      <c r="N109" s="57"/>
      <c r="O109" s="57"/>
      <c r="P109" s="57"/>
      <c r="Q109" s="58">
        <f t="shared" si="9"/>
        <v>14000000</v>
      </c>
    </row>
    <row r="110" spans="2:17" x14ac:dyDescent="0.2">
      <c r="B110" s="48" t="s">
        <v>458</v>
      </c>
      <c r="C110" s="49" t="s">
        <v>730</v>
      </c>
      <c r="D110" s="49" t="s">
        <v>731</v>
      </c>
      <c r="E110" s="57"/>
      <c r="F110" s="57"/>
      <c r="G110" s="57"/>
      <c r="H110" s="57">
        <v>0</v>
      </c>
      <c r="I110" s="57">
        <f>142350/3</f>
        <v>47450</v>
      </c>
      <c r="J110" s="57">
        <f>142350/3</f>
        <v>47450</v>
      </c>
      <c r="K110" s="57">
        <f>142350/3</f>
        <v>47450</v>
      </c>
      <c r="L110" s="57"/>
      <c r="M110" s="57"/>
      <c r="N110" s="57"/>
      <c r="O110" s="57"/>
      <c r="P110" s="57"/>
      <c r="Q110" s="58"/>
    </row>
    <row r="111" spans="2:17" ht="12.75" thickBot="1" x14ac:dyDescent="0.25">
      <c r="B111" s="48" t="s">
        <v>458</v>
      </c>
      <c r="C111" s="49" t="s">
        <v>460</v>
      </c>
      <c r="D111" s="49" t="s">
        <v>481</v>
      </c>
      <c r="E111" s="57">
        <v>550000</v>
      </c>
      <c r="F111" s="57">
        <v>0</v>
      </c>
      <c r="G111" s="57">
        <v>0</v>
      </c>
      <c r="H111" s="57">
        <v>550000</v>
      </c>
      <c r="I111" s="57">
        <v>0</v>
      </c>
      <c r="J111" s="51"/>
      <c r="K111" s="57"/>
      <c r="L111" s="57"/>
      <c r="M111" s="57"/>
      <c r="N111" s="57"/>
      <c r="O111" s="57"/>
      <c r="P111" s="57"/>
      <c r="Q111" s="58">
        <f t="shared" si="9"/>
        <v>1100000</v>
      </c>
    </row>
    <row r="112" spans="2:17" ht="13.5" thickTop="1" thickBot="1" x14ac:dyDescent="0.25">
      <c r="B112" s="163" t="s">
        <v>482</v>
      </c>
      <c r="C112" s="164"/>
      <c r="D112" s="165"/>
      <c r="E112" s="55">
        <f t="shared" ref="E112:Q112" si="10">SUM(E95:E111)</f>
        <v>18292160.609999999</v>
      </c>
      <c r="F112" s="55">
        <f t="shared" si="10"/>
        <v>19380999</v>
      </c>
      <c r="G112" s="55">
        <f t="shared" si="10"/>
        <v>13884067.609999999</v>
      </c>
      <c r="H112" s="55">
        <f t="shared" si="10"/>
        <v>12096692.839999998</v>
      </c>
      <c r="I112" s="55">
        <f t="shared" si="10"/>
        <v>10096853.970000001</v>
      </c>
      <c r="J112" s="55">
        <f t="shared" si="10"/>
        <v>2194640.08</v>
      </c>
      <c r="K112" s="55">
        <f t="shared" si="10"/>
        <v>47450</v>
      </c>
      <c r="L112" s="55">
        <f t="shared" si="10"/>
        <v>0</v>
      </c>
      <c r="M112" s="55">
        <f t="shared" si="10"/>
        <v>0</v>
      </c>
      <c r="N112" s="55">
        <f t="shared" si="10"/>
        <v>0</v>
      </c>
      <c r="O112" s="55">
        <f t="shared" si="10"/>
        <v>0</v>
      </c>
      <c r="P112" s="55">
        <f t="shared" si="10"/>
        <v>0</v>
      </c>
      <c r="Q112" s="55">
        <f t="shared" si="10"/>
        <v>75850514.110000014</v>
      </c>
    </row>
    <row r="113" spans="2:17" ht="12.75" thickTop="1" x14ac:dyDescent="0.2">
      <c r="F113" s="64"/>
      <c r="K113" s="64"/>
    </row>
    <row r="114" spans="2:17" ht="13.9" customHeight="1" x14ac:dyDescent="0.2">
      <c r="K114" s="64"/>
    </row>
    <row r="115" spans="2:17" s="44" customFormat="1" x14ac:dyDescent="0.25">
      <c r="B115" s="46" t="s">
        <v>361</v>
      </c>
      <c r="C115" s="46" t="s">
        <v>362</v>
      </c>
      <c r="D115" s="46" t="s">
        <v>363</v>
      </c>
      <c r="E115" s="47">
        <v>46023</v>
      </c>
      <c r="F115" s="47">
        <v>46054</v>
      </c>
      <c r="G115" s="47">
        <v>46082</v>
      </c>
      <c r="H115" s="47">
        <v>46113</v>
      </c>
      <c r="I115" s="47">
        <v>46143</v>
      </c>
      <c r="J115" s="47">
        <v>46174</v>
      </c>
      <c r="K115" s="47">
        <v>46204</v>
      </c>
      <c r="L115" s="47">
        <v>46235</v>
      </c>
      <c r="M115" s="47">
        <v>46266</v>
      </c>
      <c r="N115" s="47">
        <v>46296</v>
      </c>
      <c r="O115" s="47">
        <v>46327</v>
      </c>
      <c r="P115" s="47">
        <v>46357</v>
      </c>
    </row>
    <row r="116" spans="2:17" x14ac:dyDescent="0.2">
      <c r="B116" s="48" t="s">
        <v>483</v>
      </c>
      <c r="C116" s="49" t="s">
        <v>400</v>
      </c>
      <c r="D116" s="49" t="s">
        <v>484</v>
      </c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3">
        <f t="shared" ref="Q116:Q156" si="11">+P116+O116+N116+M116+L116+K116+J116+I116+H116+G116+F116+E116</f>
        <v>0</v>
      </c>
    </row>
    <row r="117" spans="2:17" x14ac:dyDescent="0.2">
      <c r="B117" s="48" t="s">
        <v>483</v>
      </c>
      <c r="C117" s="49" t="s">
        <v>485</v>
      </c>
      <c r="D117" s="49" t="s">
        <v>484</v>
      </c>
      <c r="E117" s="57"/>
      <c r="F117" s="57"/>
      <c r="G117" s="57">
        <v>208661.48741431869</v>
      </c>
      <c r="H117" s="57"/>
      <c r="I117" s="57"/>
      <c r="J117" s="57"/>
      <c r="K117" s="57"/>
      <c r="L117" s="57"/>
      <c r="M117" s="57"/>
      <c r="N117" s="57"/>
      <c r="O117" s="57"/>
      <c r="P117" s="57"/>
      <c r="Q117" s="53">
        <f t="shared" si="11"/>
        <v>208661.48741431869</v>
      </c>
    </row>
    <row r="118" spans="2:17" x14ac:dyDescent="0.2">
      <c r="B118" s="48" t="s">
        <v>483</v>
      </c>
      <c r="C118" s="49" t="s">
        <v>486</v>
      </c>
      <c r="D118" s="49" t="s">
        <v>484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3">
        <f t="shared" si="11"/>
        <v>0</v>
      </c>
    </row>
    <row r="119" spans="2:17" x14ac:dyDescent="0.2">
      <c r="B119" s="48" t="s">
        <v>483</v>
      </c>
      <c r="C119" s="49" t="s">
        <v>487</v>
      </c>
      <c r="D119" s="49" t="s">
        <v>484</v>
      </c>
      <c r="E119" s="57"/>
      <c r="F119" s="57"/>
      <c r="G119" s="57">
        <v>108959.70097805119</v>
      </c>
      <c r="H119" s="57"/>
      <c r="I119" s="57"/>
      <c r="J119" s="57"/>
      <c r="K119" s="57"/>
      <c r="L119" s="57"/>
      <c r="M119" s="57"/>
      <c r="N119" s="57"/>
      <c r="O119" s="57"/>
      <c r="P119" s="57"/>
      <c r="Q119" s="53">
        <f t="shared" si="11"/>
        <v>108959.70097805119</v>
      </c>
    </row>
    <row r="120" spans="2:17" x14ac:dyDescent="0.2">
      <c r="B120" s="48" t="s">
        <v>483</v>
      </c>
      <c r="C120" s="49" t="s">
        <v>488</v>
      </c>
      <c r="D120" s="49" t="s">
        <v>484</v>
      </c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3">
        <f t="shared" si="11"/>
        <v>0</v>
      </c>
    </row>
    <row r="121" spans="2:17" x14ac:dyDescent="0.2">
      <c r="B121" s="48" t="s">
        <v>483</v>
      </c>
      <c r="C121" s="49" t="s">
        <v>489</v>
      </c>
      <c r="D121" s="49" t="s">
        <v>484</v>
      </c>
      <c r="E121" s="57">
        <v>191417.01881549563</v>
      </c>
      <c r="F121" s="57">
        <v>120206</v>
      </c>
      <c r="G121" s="57"/>
      <c r="H121" s="57">
        <v>255809</v>
      </c>
      <c r="I121" s="57"/>
      <c r="J121" s="57"/>
      <c r="K121" s="57"/>
      <c r="L121" s="57"/>
      <c r="M121" s="57"/>
      <c r="N121" s="57"/>
      <c r="O121" s="57"/>
      <c r="P121" s="57"/>
      <c r="Q121" s="53">
        <f t="shared" si="11"/>
        <v>567432.01881549566</v>
      </c>
    </row>
    <row r="122" spans="2:17" x14ac:dyDescent="0.2">
      <c r="B122" s="48" t="s">
        <v>483</v>
      </c>
      <c r="C122" s="49" t="s">
        <v>490</v>
      </c>
      <c r="D122" s="49" t="s">
        <v>484</v>
      </c>
      <c r="E122" s="57"/>
      <c r="F122" s="57">
        <v>-31169</v>
      </c>
      <c r="G122" s="57"/>
      <c r="H122" s="57">
        <v>219037</v>
      </c>
      <c r="I122" s="57"/>
      <c r="J122" s="57"/>
      <c r="K122" s="57"/>
      <c r="L122" s="57"/>
      <c r="M122" s="57"/>
      <c r="N122" s="57"/>
      <c r="O122" s="57"/>
      <c r="P122" s="57"/>
      <c r="Q122" s="53">
        <f t="shared" si="11"/>
        <v>187868</v>
      </c>
    </row>
    <row r="123" spans="2:17" x14ac:dyDescent="0.2">
      <c r="B123" s="48" t="s">
        <v>483</v>
      </c>
      <c r="C123" s="49" t="s">
        <v>491</v>
      </c>
      <c r="D123" s="49" t="s">
        <v>484</v>
      </c>
      <c r="E123" s="57"/>
      <c r="F123" s="57"/>
      <c r="G123" s="57"/>
      <c r="H123" s="57">
        <v>-31169</v>
      </c>
      <c r="I123" s="57"/>
      <c r="J123" s="57"/>
      <c r="K123" s="57"/>
      <c r="L123" s="57"/>
      <c r="M123" s="57"/>
      <c r="N123" s="57"/>
      <c r="O123" s="57"/>
      <c r="P123" s="57"/>
      <c r="Q123" s="53">
        <f t="shared" si="11"/>
        <v>-31169</v>
      </c>
    </row>
    <row r="124" spans="2:17" x14ac:dyDescent="0.2">
      <c r="B124" s="48" t="s">
        <v>483</v>
      </c>
      <c r="C124" s="49" t="s">
        <v>492</v>
      </c>
      <c r="D124" s="49" t="s">
        <v>484</v>
      </c>
      <c r="E124" s="57">
        <v>394361.68562550226</v>
      </c>
      <c r="F124" s="57">
        <v>1009866</v>
      </c>
      <c r="G124" s="57">
        <v>3652140.6216076296</v>
      </c>
      <c r="H124" s="57"/>
      <c r="I124" s="57"/>
      <c r="J124" s="57"/>
      <c r="K124" s="57"/>
      <c r="L124" s="57"/>
      <c r="M124" s="57"/>
      <c r="N124" s="57"/>
      <c r="O124" s="57"/>
      <c r="P124" s="57"/>
      <c r="Q124" s="53">
        <f t="shared" si="11"/>
        <v>5056368.3072331315</v>
      </c>
    </row>
    <row r="125" spans="2:17" x14ac:dyDescent="0.2">
      <c r="B125" s="48" t="s">
        <v>483</v>
      </c>
      <c r="C125" s="166" t="s">
        <v>493</v>
      </c>
      <c r="D125" s="167"/>
      <c r="E125" s="57">
        <f>843019.1+895770</f>
        <v>1738789.1</v>
      </c>
      <c r="F125" s="57">
        <v>0</v>
      </c>
      <c r="G125" s="57">
        <v>0</v>
      </c>
      <c r="H125" s="57"/>
      <c r="I125" s="57"/>
      <c r="J125" s="57"/>
      <c r="K125" s="57"/>
      <c r="L125" s="57"/>
      <c r="M125" s="57"/>
      <c r="N125" s="57"/>
      <c r="O125" s="57"/>
      <c r="P125" s="57"/>
      <c r="Q125" s="53">
        <f t="shared" si="11"/>
        <v>1738789.1</v>
      </c>
    </row>
    <row r="126" spans="2:17" x14ac:dyDescent="0.2">
      <c r="B126" s="48" t="s">
        <v>483</v>
      </c>
      <c r="C126" s="49" t="s">
        <v>494</v>
      </c>
      <c r="D126" s="49" t="s">
        <v>491</v>
      </c>
      <c r="E126" s="57">
        <v>2666666.67</v>
      </c>
      <c r="F126" s="57">
        <v>2666666.67</v>
      </c>
      <c r="G126" s="57">
        <v>0</v>
      </c>
      <c r="H126" s="57"/>
      <c r="I126" s="57"/>
      <c r="J126" s="57"/>
      <c r="K126" s="57"/>
      <c r="L126" s="57"/>
      <c r="M126" s="57"/>
      <c r="N126" s="57"/>
      <c r="O126" s="57"/>
      <c r="P126" s="57"/>
      <c r="Q126" s="53">
        <f t="shared" si="11"/>
        <v>5333333.34</v>
      </c>
    </row>
    <row r="127" spans="2:17" x14ac:dyDescent="0.2">
      <c r="B127" s="48" t="s">
        <v>483</v>
      </c>
      <c r="C127" s="49" t="s">
        <v>495</v>
      </c>
      <c r="D127" s="49" t="s">
        <v>496</v>
      </c>
      <c r="E127" s="57">
        <f>2000000+400000+118800+24948</f>
        <v>2543748</v>
      </c>
      <c r="F127" s="57">
        <v>0</v>
      </c>
      <c r="G127" s="57">
        <v>0</v>
      </c>
      <c r="H127" s="57"/>
      <c r="I127" s="57"/>
      <c r="J127" s="57"/>
      <c r="K127" s="57"/>
      <c r="L127" s="57"/>
      <c r="M127" s="57"/>
      <c r="N127" s="57"/>
      <c r="O127" s="57"/>
      <c r="P127" s="57"/>
      <c r="Q127" s="53">
        <f t="shared" si="11"/>
        <v>2543748</v>
      </c>
    </row>
    <row r="128" spans="2:17" x14ac:dyDescent="0.2">
      <c r="B128" s="48" t="s">
        <v>483</v>
      </c>
      <c r="C128" s="49" t="s">
        <v>497</v>
      </c>
      <c r="D128" s="49" t="s">
        <v>496</v>
      </c>
      <c r="E128" s="57">
        <v>3500000</v>
      </c>
      <c r="F128" s="57">
        <v>0</v>
      </c>
      <c r="G128" s="57">
        <v>0</v>
      </c>
      <c r="H128" s="57"/>
      <c r="I128" s="57"/>
      <c r="J128" s="57"/>
      <c r="K128" s="57"/>
      <c r="L128" s="57"/>
      <c r="M128" s="57"/>
      <c r="N128" s="57"/>
      <c r="O128" s="57"/>
      <c r="P128" s="57"/>
      <c r="Q128" s="53">
        <f t="shared" si="11"/>
        <v>3500000</v>
      </c>
    </row>
    <row r="129" spans="2:17" x14ac:dyDescent="0.2">
      <c r="B129" s="48" t="s">
        <v>483</v>
      </c>
      <c r="C129" s="49" t="s">
        <v>498</v>
      </c>
      <c r="D129" s="49" t="s">
        <v>496</v>
      </c>
      <c r="E129" s="57">
        <v>3000000</v>
      </c>
      <c r="F129" s="57">
        <v>0</v>
      </c>
      <c r="G129" s="57">
        <v>0</v>
      </c>
      <c r="H129" s="57"/>
      <c r="I129" s="57"/>
      <c r="J129" s="57"/>
      <c r="K129" s="57"/>
      <c r="L129" s="57"/>
      <c r="M129" s="57"/>
      <c r="N129" s="57"/>
      <c r="O129" s="57"/>
      <c r="P129" s="57"/>
      <c r="Q129" s="53">
        <f t="shared" si="11"/>
        <v>3000000</v>
      </c>
    </row>
    <row r="130" spans="2:17" x14ac:dyDescent="0.2">
      <c r="B130" s="48" t="s">
        <v>483</v>
      </c>
      <c r="C130" s="49" t="s">
        <v>499</v>
      </c>
      <c r="D130" s="49" t="s">
        <v>487</v>
      </c>
      <c r="E130" s="57">
        <v>0</v>
      </c>
      <c r="F130" s="57">
        <v>0</v>
      </c>
      <c r="G130" s="57">
        <f>200000+48400+121220+25456.2</f>
        <v>395076.2</v>
      </c>
      <c r="H130" s="57"/>
      <c r="I130" s="57"/>
      <c r="J130" s="57"/>
      <c r="K130" s="57"/>
      <c r="L130" s="57"/>
      <c r="M130" s="57"/>
      <c r="N130" s="57"/>
      <c r="O130" s="57"/>
      <c r="P130" s="57"/>
      <c r="Q130" s="53">
        <f t="shared" si="11"/>
        <v>395076.2</v>
      </c>
    </row>
    <row r="131" spans="2:17" x14ac:dyDescent="0.2">
      <c r="B131" s="48" t="s">
        <v>483</v>
      </c>
      <c r="C131" s="49" t="s">
        <v>500</v>
      </c>
      <c r="D131" s="49" t="s">
        <v>489</v>
      </c>
      <c r="E131" s="57">
        <v>0</v>
      </c>
      <c r="F131" s="57">
        <v>0</v>
      </c>
      <c r="G131" s="57">
        <f>3000000+1200000+359500</f>
        <v>4559500</v>
      </c>
      <c r="H131" s="78">
        <v>3000000</v>
      </c>
      <c r="I131" s="57"/>
      <c r="J131" s="57"/>
      <c r="K131" s="57"/>
      <c r="L131" s="57"/>
      <c r="M131" s="57"/>
      <c r="N131" s="57"/>
      <c r="O131" s="57"/>
      <c r="P131" s="57"/>
      <c r="Q131" s="53">
        <f t="shared" si="11"/>
        <v>7559500</v>
      </c>
    </row>
    <row r="132" spans="2:17" x14ac:dyDescent="0.2">
      <c r="B132" s="48" t="s">
        <v>483</v>
      </c>
      <c r="C132" s="49" t="s">
        <v>501</v>
      </c>
      <c r="D132" s="49" t="s">
        <v>496</v>
      </c>
      <c r="E132" s="57">
        <v>0</v>
      </c>
      <c r="F132" s="57">
        <v>0</v>
      </c>
      <c r="G132" s="57">
        <f>2500000+146676.2</f>
        <v>2646676.2000000002</v>
      </c>
      <c r="H132" s="57">
        <v>0</v>
      </c>
      <c r="I132" s="57"/>
      <c r="J132" s="57"/>
      <c r="K132" s="57"/>
      <c r="L132" s="57"/>
      <c r="M132" s="57"/>
      <c r="N132" s="57"/>
      <c r="O132" s="57"/>
      <c r="P132" s="57"/>
      <c r="Q132" s="53">
        <f t="shared" si="11"/>
        <v>2646676.2000000002</v>
      </c>
    </row>
    <row r="133" spans="2:17" x14ac:dyDescent="0.2">
      <c r="B133" s="48" t="s">
        <v>483</v>
      </c>
      <c r="C133" s="49" t="s">
        <v>502</v>
      </c>
      <c r="D133" s="49" t="s">
        <v>496</v>
      </c>
      <c r="E133" s="57">
        <v>0</v>
      </c>
      <c r="F133" s="57">
        <v>0</v>
      </c>
      <c r="G133" s="57">
        <f>1050000+420000+121220</f>
        <v>1591220</v>
      </c>
      <c r="H133" s="57">
        <v>1050000</v>
      </c>
      <c r="I133" s="57"/>
      <c r="J133" s="57"/>
      <c r="K133" s="57"/>
      <c r="L133" s="57"/>
      <c r="M133" s="57"/>
      <c r="N133" s="57"/>
      <c r="O133" s="57"/>
      <c r="P133" s="57"/>
      <c r="Q133" s="53">
        <f t="shared" si="11"/>
        <v>2641220</v>
      </c>
    </row>
    <row r="134" spans="2:17" x14ac:dyDescent="0.2">
      <c r="B134" s="48" t="s">
        <v>483</v>
      </c>
      <c r="C134" s="49" t="s">
        <v>503</v>
      </c>
      <c r="D134" s="49" t="s">
        <v>496</v>
      </c>
      <c r="E134" s="57">
        <v>0</v>
      </c>
      <c r="F134" s="57">
        <v>0</v>
      </c>
      <c r="G134" s="57">
        <f>2500000+500000</f>
        <v>3000000</v>
      </c>
      <c r="H134" s="57">
        <v>0</v>
      </c>
      <c r="I134" s="57"/>
      <c r="J134" s="57"/>
      <c r="K134" s="57"/>
      <c r="L134" s="57"/>
      <c r="M134" s="57"/>
      <c r="N134" s="57"/>
      <c r="O134" s="57"/>
      <c r="P134" s="57"/>
      <c r="Q134" s="53">
        <f t="shared" si="11"/>
        <v>3000000</v>
      </c>
    </row>
    <row r="135" spans="2:17" x14ac:dyDescent="0.2">
      <c r="B135" s="48" t="s">
        <v>483</v>
      </c>
      <c r="C135" s="49" t="s">
        <v>504</v>
      </c>
      <c r="D135" s="49" t="s">
        <v>496</v>
      </c>
      <c r="E135" s="57">
        <v>0</v>
      </c>
      <c r="F135" s="57">
        <v>0</v>
      </c>
      <c r="G135" s="57">
        <f>2666666.66+1760000+440000+176000+17600</f>
        <v>5060266.66</v>
      </c>
      <c r="H135" s="57">
        <v>2666666.66</v>
      </c>
      <c r="I135" s="57">
        <v>2666666.66</v>
      </c>
      <c r="J135" s="57">
        <v>2666666.66</v>
      </c>
      <c r="K135" s="57"/>
      <c r="L135" s="57"/>
      <c r="M135" s="57"/>
      <c r="N135" s="57"/>
      <c r="O135" s="57"/>
      <c r="P135" s="57"/>
      <c r="Q135" s="53" t="e">
        <f>+P135+O135+N135+M135+L135+K135+#REF!+J135+H135+G135+F135+E135</f>
        <v>#REF!</v>
      </c>
    </row>
    <row r="136" spans="2:17" x14ac:dyDescent="0.2">
      <c r="B136" s="48" t="s">
        <v>483</v>
      </c>
      <c r="C136" s="49" t="s">
        <v>505</v>
      </c>
      <c r="D136" s="49" t="s">
        <v>506</v>
      </c>
      <c r="E136" s="57">
        <v>0</v>
      </c>
      <c r="F136" s="57">
        <v>0</v>
      </c>
      <c r="G136" s="57">
        <v>0</v>
      </c>
      <c r="H136" s="57">
        <f>507912+101583+121220+25456.2</f>
        <v>756171.2</v>
      </c>
      <c r="I136" s="57"/>
      <c r="J136" s="57"/>
      <c r="K136" s="57"/>
      <c r="L136" s="57"/>
      <c r="M136" s="57"/>
      <c r="N136" s="57"/>
      <c r="O136" s="57"/>
      <c r="P136" s="57"/>
      <c r="Q136" s="53">
        <f t="shared" si="11"/>
        <v>756171.2</v>
      </c>
    </row>
    <row r="137" spans="2:17" x14ac:dyDescent="0.2">
      <c r="B137" s="48" t="s">
        <v>483</v>
      </c>
      <c r="C137" s="49" t="s">
        <v>507</v>
      </c>
      <c r="D137" s="49" t="s">
        <v>508</v>
      </c>
      <c r="E137" s="57">
        <v>0</v>
      </c>
      <c r="F137" s="57">
        <v>0</v>
      </c>
      <c r="G137" s="57">
        <v>0</v>
      </c>
      <c r="H137" s="57">
        <f>3000000+600000+146667.2</f>
        <v>3746667.2</v>
      </c>
      <c r="I137" s="57"/>
      <c r="J137" s="57"/>
      <c r="K137" s="57"/>
      <c r="L137" s="57"/>
      <c r="M137" s="57"/>
      <c r="N137" s="57"/>
      <c r="O137" s="57"/>
      <c r="P137" s="57"/>
      <c r="Q137" s="53">
        <f t="shared" si="11"/>
        <v>3746667.2</v>
      </c>
    </row>
    <row r="138" spans="2:17" x14ac:dyDescent="0.2">
      <c r="B138" s="48" t="s">
        <v>483</v>
      </c>
      <c r="C138" s="49" t="s">
        <v>509</v>
      </c>
      <c r="D138" s="49" t="s">
        <v>491</v>
      </c>
      <c r="E138" s="57">
        <v>0</v>
      </c>
      <c r="F138" s="57">
        <v>0</v>
      </c>
      <c r="G138" s="57">
        <v>0</v>
      </c>
      <c r="H138" s="57">
        <v>56455</v>
      </c>
      <c r="I138" s="57">
        <v>43546</v>
      </c>
      <c r="J138" s="57"/>
      <c r="K138" s="57"/>
      <c r="L138" s="57"/>
      <c r="M138" s="57"/>
      <c r="N138" s="57"/>
      <c r="O138" s="57"/>
      <c r="P138" s="57"/>
      <c r="Q138" s="53">
        <f t="shared" si="11"/>
        <v>100001</v>
      </c>
    </row>
    <row r="139" spans="2:17" x14ac:dyDescent="0.2">
      <c r="B139" s="48" t="s">
        <v>483</v>
      </c>
      <c r="C139" s="49" t="s">
        <v>510</v>
      </c>
      <c r="D139" s="49" t="s">
        <v>489</v>
      </c>
      <c r="E139" s="57">
        <v>0</v>
      </c>
      <c r="F139" s="57">
        <v>0</v>
      </c>
      <c r="G139" s="57">
        <v>0</v>
      </c>
      <c r="H139" s="57">
        <f>2666666+1600000+160000+440000+176000+8800+320000</f>
        <v>5371466</v>
      </c>
      <c r="I139" s="57">
        <v>2666666</v>
      </c>
      <c r="J139" s="57">
        <v>2666666</v>
      </c>
      <c r="K139" s="57"/>
      <c r="L139" s="57"/>
      <c r="M139" s="57"/>
      <c r="N139" s="57"/>
      <c r="O139" s="57"/>
      <c r="P139" s="57"/>
      <c r="Q139" s="53">
        <f t="shared" si="11"/>
        <v>10704798</v>
      </c>
    </row>
    <row r="140" spans="2:17" x14ac:dyDescent="0.2">
      <c r="B140" s="48" t="s">
        <v>483</v>
      </c>
      <c r="C140" s="49" t="s">
        <v>511</v>
      </c>
      <c r="D140" s="49" t="s">
        <v>508</v>
      </c>
      <c r="E140" s="57">
        <v>0</v>
      </c>
      <c r="F140" s="57">
        <v>0</v>
      </c>
      <c r="G140" s="57">
        <v>0</v>
      </c>
      <c r="H140" s="57">
        <f>700000+140000+129470+27188.7</f>
        <v>996658.7</v>
      </c>
      <c r="I140" s="57"/>
      <c r="J140" s="57"/>
      <c r="K140" s="57"/>
      <c r="L140" s="57"/>
      <c r="M140" s="57"/>
      <c r="N140" s="57"/>
      <c r="O140" s="57"/>
      <c r="P140" s="57"/>
      <c r="Q140" s="53">
        <f t="shared" si="11"/>
        <v>996658.7</v>
      </c>
    </row>
    <row r="141" spans="2:17" x14ac:dyDescent="0.2">
      <c r="B141" s="48" t="s">
        <v>483</v>
      </c>
      <c r="C141" s="49" t="s">
        <v>512</v>
      </c>
      <c r="D141" s="49" t="s">
        <v>496</v>
      </c>
      <c r="E141" s="57">
        <v>0</v>
      </c>
      <c r="F141" s="57">
        <v>0</v>
      </c>
      <c r="G141" s="57">
        <v>0</v>
      </c>
      <c r="H141" s="57">
        <f>500000+200000+131670</f>
        <v>831670</v>
      </c>
      <c r="I141" s="57">
        <v>500000</v>
      </c>
      <c r="J141" s="57"/>
      <c r="K141" s="57"/>
      <c r="L141" s="57"/>
      <c r="M141" s="57"/>
      <c r="N141" s="57"/>
      <c r="O141" s="57"/>
      <c r="P141" s="57"/>
      <c r="Q141" s="53">
        <f t="shared" si="11"/>
        <v>1331670</v>
      </c>
    </row>
    <row r="142" spans="2:17" x14ac:dyDescent="0.2">
      <c r="B142" s="48" t="s">
        <v>483</v>
      </c>
      <c r="C142" s="49" t="s">
        <v>513</v>
      </c>
      <c r="D142" s="49" t="s">
        <v>732</v>
      </c>
      <c r="E142" s="57">
        <v>0</v>
      </c>
      <c r="F142" s="57">
        <v>0</v>
      </c>
      <c r="G142" s="57">
        <v>0</v>
      </c>
      <c r="H142" s="57">
        <v>0</v>
      </c>
      <c r="I142" s="57">
        <f>3000000+1200000</f>
        <v>4200000</v>
      </c>
      <c r="J142" s="57">
        <v>3000000</v>
      </c>
      <c r="K142" s="57"/>
      <c r="L142" s="57"/>
      <c r="M142" s="57"/>
      <c r="N142" s="57"/>
      <c r="O142" s="57"/>
      <c r="P142" s="57"/>
      <c r="Q142" s="53">
        <f t="shared" si="11"/>
        <v>7200000</v>
      </c>
    </row>
    <row r="143" spans="2:17" x14ac:dyDescent="0.2">
      <c r="B143" s="48" t="s">
        <v>483</v>
      </c>
      <c r="C143" s="49" t="s">
        <v>514</v>
      </c>
      <c r="D143" s="49" t="s">
        <v>496</v>
      </c>
      <c r="E143" s="57">
        <v>0</v>
      </c>
      <c r="F143" s="57">
        <v>0</v>
      </c>
      <c r="G143" s="57">
        <v>0</v>
      </c>
      <c r="H143" s="57">
        <v>0</v>
      </c>
      <c r="I143" s="57">
        <f>4500000+1800000+180000+540000+54000+180000</f>
        <v>7254000</v>
      </c>
      <c r="J143" s="57">
        <v>4500000</v>
      </c>
      <c r="K143" s="57"/>
      <c r="L143" s="57"/>
      <c r="M143" s="57"/>
      <c r="N143" s="57"/>
      <c r="O143" s="57"/>
      <c r="P143" s="57"/>
      <c r="Q143" s="53">
        <f t="shared" si="11"/>
        <v>11754000</v>
      </c>
    </row>
    <row r="144" spans="2:17" x14ac:dyDescent="0.2">
      <c r="B144" s="48" t="s">
        <v>483</v>
      </c>
      <c r="C144" s="49" t="s">
        <v>515</v>
      </c>
      <c r="D144" s="49" t="s">
        <v>496</v>
      </c>
      <c r="E144" s="57">
        <v>0</v>
      </c>
      <c r="F144" s="57">
        <v>0</v>
      </c>
      <c r="G144" s="57">
        <v>0</v>
      </c>
      <c r="H144" s="57">
        <v>0</v>
      </c>
      <c r="I144" s="57">
        <f>2500000+500000+131670</f>
        <v>3131670</v>
      </c>
      <c r="J144" s="57"/>
      <c r="K144" s="57"/>
      <c r="L144" s="57"/>
      <c r="M144" s="57"/>
      <c r="N144" s="57"/>
      <c r="O144" s="57"/>
      <c r="P144" s="57"/>
      <c r="Q144" s="53">
        <f t="shared" si="11"/>
        <v>3131670</v>
      </c>
    </row>
    <row r="145" spans="2:17" x14ac:dyDescent="0.2">
      <c r="B145" s="48" t="s">
        <v>483</v>
      </c>
      <c r="C145" s="49" t="s">
        <v>516</v>
      </c>
      <c r="D145" s="49" t="s">
        <v>508</v>
      </c>
      <c r="E145" s="57">
        <v>0</v>
      </c>
      <c r="F145" s="57">
        <v>0</v>
      </c>
      <c r="G145" s="57">
        <v>0</v>
      </c>
      <c r="H145" s="57">
        <v>2531670</v>
      </c>
      <c r="I145" s="57"/>
      <c r="J145" s="57"/>
      <c r="K145" s="57"/>
      <c r="L145" s="57"/>
      <c r="M145" s="57"/>
      <c r="N145" s="57"/>
      <c r="O145" s="57"/>
      <c r="P145" s="57"/>
      <c r="Q145" s="53">
        <f t="shared" si="11"/>
        <v>2531670</v>
      </c>
    </row>
    <row r="146" spans="2:17" x14ac:dyDescent="0.2">
      <c r="B146" s="48" t="s">
        <v>483</v>
      </c>
      <c r="C146" s="49" t="s">
        <v>733</v>
      </c>
      <c r="D146" s="49" t="s">
        <v>734</v>
      </c>
      <c r="E146" s="57">
        <v>0</v>
      </c>
      <c r="F146" s="57">
        <v>0</v>
      </c>
      <c r="G146" s="57">
        <v>0</v>
      </c>
      <c r="H146" s="57">
        <v>0</v>
      </c>
      <c r="I146" s="57">
        <v>0</v>
      </c>
      <c r="J146" s="57">
        <f>200000+484000+133650+28066.5</f>
        <v>845716.5</v>
      </c>
      <c r="K146" s="57"/>
      <c r="L146" s="57"/>
      <c r="M146" s="57"/>
      <c r="N146" s="57"/>
      <c r="O146" s="57"/>
      <c r="P146" s="57"/>
      <c r="Q146" s="53">
        <f t="shared" si="11"/>
        <v>845716.5</v>
      </c>
    </row>
    <row r="147" spans="2:17" x14ac:dyDescent="0.2">
      <c r="B147" s="48" t="s">
        <v>483</v>
      </c>
      <c r="C147" s="49" t="s">
        <v>735</v>
      </c>
      <c r="D147" s="49" t="s">
        <v>734</v>
      </c>
      <c r="E147" s="57">
        <v>0</v>
      </c>
      <c r="F147" s="57">
        <v>0</v>
      </c>
      <c r="G147" s="57">
        <v>0</v>
      </c>
      <c r="H147" s="57">
        <v>0</v>
      </c>
      <c r="I147" s="57">
        <v>0</v>
      </c>
      <c r="J147" s="57">
        <f>2000000+400000+133650</f>
        <v>2533650</v>
      </c>
      <c r="K147" s="57"/>
      <c r="L147" s="57"/>
      <c r="M147" s="57"/>
      <c r="N147" s="57"/>
      <c r="O147" s="57"/>
      <c r="P147" s="57"/>
      <c r="Q147" s="53">
        <f t="shared" si="11"/>
        <v>2533650</v>
      </c>
    </row>
    <row r="148" spans="2:17" x14ac:dyDescent="0.2">
      <c r="B148" s="48" t="s">
        <v>483</v>
      </c>
      <c r="C148" s="49" t="s">
        <v>736</v>
      </c>
      <c r="D148" s="49" t="s">
        <v>737</v>
      </c>
      <c r="E148" s="57">
        <v>0</v>
      </c>
      <c r="F148" s="57">
        <v>0</v>
      </c>
      <c r="G148" s="57">
        <v>0</v>
      </c>
      <c r="H148" s="57">
        <v>0</v>
      </c>
      <c r="I148" s="57">
        <v>2120850</v>
      </c>
      <c r="J148" s="57"/>
      <c r="K148" s="57"/>
      <c r="L148" s="57"/>
      <c r="M148" s="57"/>
      <c r="N148" s="57"/>
      <c r="O148" s="57"/>
      <c r="P148" s="57"/>
      <c r="Q148" s="53">
        <f t="shared" si="11"/>
        <v>2120850</v>
      </c>
    </row>
    <row r="149" spans="2:17" x14ac:dyDescent="0.2">
      <c r="B149" s="48" t="s">
        <v>483</v>
      </c>
      <c r="C149" s="49" t="s">
        <v>738</v>
      </c>
      <c r="D149" s="49" t="s">
        <v>737</v>
      </c>
      <c r="E149" s="57">
        <v>0</v>
      </c>
      <c r="F149" s="57">
        <v>0</v>
      </c>
      <c r="G149" s="57">
        <v>0</v>
      </c>
      <c r="H149" s="57">
        <v>0</v>
      </c>
      <c r="I149" s="57">
        <v>242776.5</v>
      </c>
      <c r="J149" s="57"/>
      <c r="K149" s="57"/>
      <c r="L149" s="57"/>
      <c r="M149" s="57"/>
      <c r="N149" s="57"/>
      <c r="O149" s="57"/>
      <c r="P149" s="57"/>
      <c r="Q149" s="53">
        <f t="shared" si="11"/>
        <v>242776.5</v>
      </c>
    </row>
    <row r="150" spans="2:17" x14ac:dyDescent="0.2">
      <c r="B150" s="48" t="s">
        <v>483</v>
      </c>
      <c r="C150" s="49" t="s">
        <v>739</v>
      </c>
      <c r="D150" s="49" t="s">
        <v>734</v>
      </c>
      <c r="E150" s="57">
        <v>0</v>
      </c>
      <c r="F150" s="57">
        <v>0</v>
      </c>
      <c r="G150" s="57">
        <v>0</v>
      </c>
      <c r="H150" s="57">
        <v>0</v>
      </c>
      <c r="I150" s="57">
        <v>0</v>
      </c>
      <c r="J150" s="57">
        <f>1000000+133650</f>
        <v>1133650</v>
      </c>
      <c r="K150" s="57"/>
      <c r="L150" s="57"/>
      <c r="M150" s="57"/>
      <c r="N150" s="57"/>
      <c r="O150" s="57"/>
      <c r="P150" s="57"/>
      <c r="Q150" s="53">
        <f t="shared" si="11"/>
        <v>1133650</v>
      </c>
    </row>
    <row r="151" spans="2:17" x14ac:dyDescent="0.2">
      <c r="B151" s="48" t="s">
        <v>483</v>
      </c>
      <c r="C151" s="49" t="s">
        <v>740</v>
      </c>
      <c r="D151" s="49" t="s">
        <v>489</v>
      </c>
      <c r="E151" s="57">
        <v>0</v>
      </c>
      <c r="F151" s="57">
        <v>0</v>
      </c>
      <c r="G151" s="57">
        <v>0</v>
      </c>
      <c r="H151" s="57">
        <v>0</v>
      </c>
      <c r="I151" s="57">
        <v>0</v>
      </c>
      <c r="J151" s="57">
        <f>3500000+1399965+139996.5+49750+4975+230250+23025</f>
        <v>5347961.5</v>
      </c>
      <c r="K151" s="57">
        <v>3500000</v>
      </c>
      <c r="L151" s="57"/>
      <c r="M151" s="57"/>
      <c r="N151" s="57"/>
      <c r="O151" s="57"/>
      <c r="P151" s="57"/>
      <c r="Q151" s="53">
        <f t="shared" si="11"/>
        <v>8847961.5</v>
      </c>
    </row>
    <row r="152" spans="2:17" x14ac:dyDescent="0.2">
      <c r="B152" s="48" t="s">
        <v>483</v>
      </c>
      <c r="C152" s="49" t="s">
        <v>741</v>
      </c>
      <c r="D152" s="49"/>
      <c r="E152" s="57">
        <v>0</v>
      </c>
      <c r="F152" s="57">
        <v>0</v>
      </c>
      <c r="G152" s="57">
        <v>0</v>
      </c>
      <c r="H152" s="57">
        <v>0</v>
      </c>
      <c r="I152" s="57">
        <v>0</v>
      </c>
      <c r="J152" s="57">
        <f>2500000+1210000+392448</f>
        <v>4102448</v>
      </c>
      <c r="K152" s="57">
        <v>2500000</v>
      </c>
      <c r="L152" s="57"/>
      <c r="M152" s="57"/>
      <c r="N152" s="57"/>
      <c r="O152" s="57"/>
      <c r="P152" s="57"/>
      <c r="Q152" s="53">
        <f t="shared" si="11"/>
        <v>6602448</v>
      </c>
    </row>
    <row r="153" spans="2:17" x14ac:dyDescent="0.2">
      <c r="B153" s="48" t="s">
        <v>483</v>
      </c>
      <c r="C153" s="49"/>
      <c r="D153" s="49"/>
      <c r="E153" s="57">
        <v>0</v>
      </c>
      <c r="F153" s="57">
        <v>0</v>
      </c>
      <c r="G153" s="57">
        <v>0</v>
      </c>
      <c r="H153" s="57">
        <v>0</v>
      </c>
      <c r="I153" s="57">
        <v>0</v>
      </c>
      <c r="J153" s="57"/>
      <c r="K153" s="57"/>
      <c r="L153" s="57"/>
      <c r="M153" s="57"/>
      <c r="N153" s="57"/>
      <c r="O153" s="57"/>
      <c r="P153" s="57"/>
      <c r="Q153" s="53">
        <f t="shared" si="11"/>
        <v>0</v>
      </c>
    </row>
    <row r="154" spans="2:17" x14ac:dyDescent="0.2">
      <c r="B154" s="48" t="s">
        <v>483</v>
      </c>
      <c r="C154" s="49"/>
      <c r="D154" s="49"/>
      <c r="E154" s="57">
        <v>0</v>
      </c>
      <c r="F154" s="57">
        <v>0</v>
      </c>
      <c r="G154" s="57">
        <v>0</v>
      </c>
      <c r="H154" s="57">
        <v>0</v>
      </c>
      <c r="I154" s="57">
        <v>0</v>
      </c>
      <c r="J154" s="57"/>
      <c r="K154" s="57"/>
      <c r="L154" s="57"/>
      <c r="M154" s="57"/>
      <c r="N154" s="57"/>
      <c r="O154" s="57"/>
      <c r="P154" s="57"/>
      <c r="Q154" s="53">
        <f t="shared" si="11"/>
        <v>0</v>
      </c>
    </row>
    <row r="155" spans="2:17" x14ac:dyDescent="0.2">
      <c r="B155" s="48" t="s">
        <v>483</v>
      </c>
      <c r="C155" s="49"/>
      <c r="D155" s="49" t="s">
        <v>517</v>
      </c>
      <c r="E155" s="57">
        <v>0</v>
      </c>
      <c r="F155" s="57">
        <v>0</v>
      </c>
      <c r="G155" s="57">
        <v>0</v>
      </c>
      <c r="H155" s="57">
        <v>15000</v>
      </c>
      <c r="I155" s="57">
        <v>0</v>
      </c>
      <c r="J155" s="57"/>
      <c r="K155" s="57"/>
      <c r="L155" s="57"/>
      <c r="M155" s="57"/>
      <c r="N155" s="57"/>
      <c r="O155" s="57"/>
      <c r="P155" s="57"/>
      <c r="Q155" s="53">
        <f t="shared" si="11"/>
        <v>15000</v>
      </c>
    </row>
    <row r="156" spans="2:17" ht="12.75" thickBot="1" x14ac:dyDescent="0.25">
      <c r="B156" s="48"/>
      <c r="C156" s="49"/>
      <c r="D156" s="49"/>
      <c r="E156" s="57">
        <v>0</v>
      </c>
      <c r="F156" s="57">
        <v>0</v>
      </c>
      <c r="G156" s="57">
        <v>0</v>
      </c>
      <c r="H156" s="51">
        <v>0</v>
      </c>
      <c r="I156" s="57">
        <v>0</v>
      </c>
      <c r="J156" s="57">
        <v>0</v>
      </c>
      <c r="K156" s="57">
        <v>0</v>
      </c>
      <c r="L156" s="51">
        <v>0</v>
      </c>
      <c r="M156" s="57">
        <v>0</v>
      </c>
      <c r="N156" s="57">
        <v>0</v>
      </c>
      <c r="O156" s="57">
        <v>0</v>
      </c>
      <c r="P156" s="57">
        <v>0</v>
      </c>
      <c r="Q156" s="53">
        <f t="shared" si="11"/>
        <v>0</v>
      </c>
    </row>
    <row r="157" spans="2:17" ht="13.5" thickTop="1" thickBot="1" x14ac:dyDescent="0.25">
      <c r="B157" s="163" t="s">
        <v>520</v>
      </c>
      <c r="C157" s="164"/>
      <c r="D157" s="165"/>
      <c r="E157" s="55">
        <f>SUM(E116:E156)</f>
        <v>14034982.474440997</v>
      </c>
      <c r="F157" s="55">
        <f>SUM(F116:F156)</f>
        <v>3765569.67</v>
      </c>
      <c r="G157" s="55">
        <f t="shared" ref="G157:Q157" si="12">SUM(G116:G156)</f>
        <v>21222500.870000001</v>
      </c>
      <c r="H157" s="55">
        <f t="shared" si="12"/>
        <v>21466101.760000002</v>
      </c>
      <c r="I157" s="55">
        <f t="shared" si="12"/>
        <v>22826175.16</v>
      </c>
      <c r="J157" s="55">
        <f t="shared" si="12"/>
        <v>26796758.66</v>
      </c>
      <c r="K157" s="55">
        <f t="shared" si="12"/>
        <v>6000000</v>
      </c>
      <c r="L157" s="55">
        <f t="shared" si="12"/>
        <v>0</v>
      </c>
      <c r="M157" s="55">
        <f t="shared" si="12"/>
        <v>0</v>
      </c>
      <c r="N157" s="55">
        <f t="shared" si="12"/>
        <v>0</v>
      </c>
      <c r="O157" s="55">
        <f t="shared" si="12"/>
        <v>0</v>
      </c>
      <c r="P157" s="55">
        <f t="shared" si="12"/>
        <v>0</v>
      </c>
      <c r="Q157" s="55" t="e">
        <f t="shared" si="12"/>
        <v>#REF!</v>
      </c>
    </row>
    <row r="158" spans="2:17" ht="12.75" thickTop="1" x14ac:dyDescent="0.2">
      <c r="F158" s="64"/>
      <c r="G158" s="121"/>
      <c r="H158" s="122"/>
      <c r="I158" s="122"/>
      <c r="K158" s="65"/>
      <c r="M158" s="74"/>
      <c r="N158" s="74"/>
    </row>
    <row r="159" spans="2:17" x14ac:dyDescent="0.2">
      <c r="K159" s="64"/>
    </row>
    <row r="160" spans="2:17" s="44" customFormat="1" x14ac:dyDescent="0.25">
      <c r="B160" s="46" t="s">
        <v>361</v>
      </c>
      <c r="C160" s="46" t="s">
        <v>362</v>
      </c>
      <c r="D160" s="46" t="s">
        <v>363</v>
      </c>
      <c r="E160" s="47">
        <v>46023</v>
      </c>
      <c r="F160" s="47">
        <v>46054</v>
      </c>
      <c r="G160" s="47">
        <v>46082</v>
      </c>
      <c r="H160" s="47">
        <v>46113</v>
      </c>
      <c r="I160" s="47">
        <v>46143</v>
      </c>
      <c r="J160" s="47">
        <v>46174</v>
      </c>
      <c r="K160" s="47">
        <v>46204</v>
      </c>
      <c r="L160" s="47">
        <v>46235</v>
      </c>
      <c r="M160" s="47">
        <v>46266</v>
      </c>
      <c r="N160" s="47">
        <v>46296</v>
      </c>
      <c r="O160" s="47">
        <v>46327</v>
      </c>
      <c r="P160" s="47">
        <v>46357</v>
      </c>
    </row>
    <row r="161" spans="2:17" x14ac:dyDescent="0.2">
      <c r="B161" s="48" t="s">
        <v>521</v>
      </c>
      <c r="C161" s="49" t="s">
        <v>487</v>
      </c>
      <c r="D161" s="49" t="s">
        <v>522</v>
      </c>
      <c r="E161" s="51">
        <v>928965.89</v>
      </c>
      <c r="F161" s="51">
        <v>704883.44</v>
      </c>
      <c r="G161" s="51">
        <f>979058.7+278.34</f>
        <v>979337.03999999992</v>
      </c>
      <c r="H161" s="51">
        <v>1165068.01</v>
      </c>
      <c r="I161" s="51">
        <v>1193573.1499999999</v>
      </c>
      <c r="J161" s="51"/>
      <c r="K161" s="51"/>
      <c r="L161" s="57"/>
      <c r="M161" s="57"/>
      <c r="N161" s="51"/>
      <c r="O161" s="51"/>
      <c r="P161" s="51"/>
      <c r="Q161" s="58">
        <f>+P161+O161+N161+M161+L161+K161+J161+I161+H161+G161+F161+E161</f>
        <v>4971827.53</v>
      </c>
    </row>
    <row r="162" spans="2:17" ht="12.75" thickBot="1" x14ac:dyDescent="0.25">
      <c r="B162" s="48" t="s">
        <v>521</v>
      </c>
      <c r="C162" s="49" t="s">
        <v>523</v>
      </c>
      <c r="D162" s="49" t="s">
        <v>524</v>
      </c>
      <c r="E162" s="51">
        <v>8184845.8099999996</v>
      </c>
      <c r="F162" s="51">
        <v>8570555.8499999996</v>
      </c>
      <c r="G162" s="51">
        <f>7652435.33+525817.96</f>
        <v>8178253.29</v>
      </c>
      <c r="H162" s="51">
        <v>7222327.8799999999</v>
      </c>
      <c r="I162" s="57">
        <v>6957547.2699999996</v>
      </c>
      <c r="J162" s="51"/>
      <c r="K162" s="51"/>
      <c r="L162" s="51"/>
      <c r="M162" s="51"/>
      <c r="N162" s="51"/>
      <c r="O162" s="51"/>
      <c r="P162" s="51"/>
      <c r="Q162" s="58">
        <f>+P162+O162+N162+M162+L162+K162+J162+I162+H162+G162+F162+E162</f>
        <v>39113530.100000001</v>
      </c>
    </row>
    <row r="163" spans="2:17" ht="13.5" thickTop="1" thickBot="1" x14ac:dyDescent="0.25">
      <c r="B163" s="163" t="s">
        <v>525</v>
      </c>
      <c r="C163" s="164"/>
      <c r="D163" s="165"/>
      <c r="E163" s="55">
        <f t="shared" ref="E163:Q163" si="13">SUM(E161:E162)</f>
        <v>9113811.6999999993</v>
      </c>
      <c r="F163" s="55">
        <f t="shared" si="13"/>
        <v>9275439.2899999991</v>
      </c>
      <c r="G163" s="55">
        <f t="shared" si="13"/>
        <v>9157590.3300000001</v>
      </c>
      <c r="H163" s="55">
        <f t="shared" si="13"/>
        <v>8387395.8899999997</v>
      </c>
      <c r="I163" s="55">
        <f t="shared" si="13"/>
        <v>8151120.4199999999</v>
      </c>
      <c r="J163" s="55">
        <f t="shared" si="13"/>
        <v>0</v>
      </c>
      <c r="K163" s="55">
        <f t="shared" si="13"/>
        <v>0</v>
      </c>
      <c r="L163" s="55">
        <f t="shared" si="13"/>
        <v>0</v>
      </c>
      <c r="M163" s="55">
        <f t="shared" si="13"/>
        <v>0</v>
      </c>
      <c r="N163" s="55">
        <f t="shared" si="13"/>
        <v>0</v>
      </c>
      <c r="O163" s="55">
        <f t="shared" si="13"/>
        <v>0</v>
      </c>
      <c r="P163" s="55">
        <f t="shared" si="13"/>
        <v>0</v>
      </c>
      <c r="Q163" s="55">
        <f t="shared" si="13"/>
        <v>44085357.630000003</v>
      </c>
    </row>
    <row r="164" spans="2:17" ht="12.75" thickTop="1" x14ac:dyDescent="0.2">
      <c r="I164" s="64"/>
      <c r="J164" s="67"/>
    </row>
    <row r="165" spans="2:17" ht="12.6" customHeight="1" x14ac:dyDescent="0.2">
      <c r="J165" s="65"/>
      <c r="K165" s="64"/>
    </row>
    <row r="166" spans="2:17" s="44" customFormat="1" x14ac:dyDescent="0.25">
      <c r="B166" s="46" t="s">
        <v>361</v>
      </c>
      <c r="C166" s="46" t="s">
        <v>362</v>
      </c>
      <c r="D166" s="46" t="s">
        <v>363</v>
      </c>
      <c r="E166" s="47">
        <v>46023</v>
      </c>
      <c r="F166" s="47">
        <v>46054</v>
      </c>
      <c r="G166" s="47">
        <v>46082</v>
      </c>
      <c r="H166" s="47">
        <v>46113</v>
      </c>
      <c r="I166" s="47">
        <v>46143</v>
      </c>
      <c r="J166" s="47">
        <v>46174</v>
      </c>
      <c r="K166" s="47">
        <v>46204</v>
      </c>
      <c r="L166" s="47">
        <v>46235</v>
      </c>
      <c r="M166" s="47">
        <v>46266</v>
      </c>
      <c r="N166" s="47">
        <v>46296</v>
      </c>
      <c r="O166" s="47">
        <v>46327</v>
      </c>
      <c r="P166" s="47">
        <v>46357</v>
      </c>
    </row>
    <row r="167" spans="2:17" x14ac:dyDescent="0.2">
      <c r="B167" s="48" t="s">
        <v>526</v>
      </c>
      <c r="C167" s="79" t="s">
        <v>527</v>
      </c>
      <c r="D167" s="49" t="s">
        <v>528</v>
      </c>
      <c r="E167" s="57">
        <v>376561.9</v>
      </c>
      <c r="F167" s="51">
        <v>397953.22</v>
      </c>
      <c r="G167" s="51">
        <v>407662.6</v>
      </c>
      <c r="H167" s="51">
        <v>1324.8099999999977</v>
      </c>
      <c r="I167" s="51">
        <v>1364.22</v>
      </c>
      <c r="J167" s="51"/>
      <c r="K167" s="51"/>
      <c r="L167" s="51"/>
      <c r="M167" s="51"/>
      <c r="N167" s="51"/>
      <c r="O167" s="51"/>
      <c r="P167" s="51"/>
      <c r="Q167" s="58">
        <f t="shared" ref="Q167:Q173" si="14">+P167+O167+N167+M167+L167+K167+J167+I167+H167+G167+F167+E167</f>
        <v>1184866.75</v>
      </c>
    </row>
    <row r="168" spans="2:17" x14ac:dyDescent="0.2">
      <c r="B168" s="48" t="s">
        <v>526</v>
      </c>
      <c r="C168" s="79" t="s">
        <v>529</v>
      </c>
      <c r="D168" s="49" t="s">
        <v>528</v>
      </c>
      <c r="E168" s="51">
        <v>3002524.32</v>
      </c>
      <c r="F168" s="51">
        <v>3122176.88</v>
      </c>
      <c r="G168" s="51">
        <v>1753161.6</v>
      </c>
      <c r="H168" s="51">
        <v>3371140.63</v>
      </c>
      <c r="I168" s="51">
        <v>3503846.29</v>
      </c>
      <c r="J168" s="51"/>
      <c r="K168" s="51"/>
      <c r="L168" s="51"/>
      <c r="M168" s="51"/>
      <c r="N168" s="57"/>
      <c r="O168" s="51"/>
      <c r="P168" s="51"/>
      <c r="Q168" s="58">
        <f t="shared" si="14"/>
        <v>14752849.719999999</v>
      </c>
    </row>
    <row r="169" spans="2:17" x14ac:dyDescent="0.2">
      <c r="B169" s="48" t="s">
        <v>526</v>
      </c>
      <c r="C169" s="49" t="s">
        <v>529</v>
      </c>
      <c r="D169" s="49" t="s">
        <v>530</v>
      </c>
      <c r="E169" s="51">
        <v>1130593.6499999999</v>
      </c>
      <c r="F169" s="51">
        <v>1163380.8799999999</v>
      </c>
      <c r="G169" s="51">
        <v>1197118.9099999999</v>
      </c>
      <c r="H169" s="51">
        <v>1065905.8899999999</v>
      </c>
      <c r="I169" s="51">
        <v>1102146.7</v>
      </c>
      <c r="J169" s="51">
        <v>1130802.51</v>
      </c>
      <c r="K169" s="51"/>
      <c r="L169" s="51"/>
      <c r="M169" s="51"/>
      <c r="N169" s="51"/>
      <c r="O169" s="51"/>
      <c r="P169" s="51"/>
      <c r="Q169" s="53">
        <f t="shared" si="14"/>
        <v>6789948.5399999991</v>
      </c>
    </row>
    <row r="170" spans="2:17" x14ac:dyDescent="0.2">
      <c r="B170" s="48" t="s">
        <v>526</v>
      </c>
      <c r="C170" s="49" t="s">
        <v>529</v>
      </c>
      <c r="D170" s="49" t="s">
        <v>531</v>
      </c>
      <c r="E170" s="51">
        <v>562257.01</v>
      </c>
      <c r="F170" s="51">
        <v>578562.46</v>
      </c>
      <c r="G170" s="51">
        <v>595340.77</v>
      </c>
      <c r="H170" s="51">
        <v>530087.05000000005</v>
      </c>
      <c r="I170" s="51">
        <v>548110.02</v>
      </c>
      <c r="J170" s="51"/>
      <c r="K170" s="51"/>
      <c r="L170" s="51"/>
      <c r="M170" s="51"/>
      <c r="N170" s="51"/>
      <c r="O170" s="51"/>
      <c r="P170" s="51"/>
      <c r="Q170" s="53"/>
    </row>
    <row r="171" spans="2:17" x14ac:dyDescent="0.2">
      <c r="B171" s="48" t="s">
        <v>526</v>
      </c>
      <c r="C171" s="49" t="s">
        <v>532</v>
      </c>
      <c r="D171" s="49" t="s">
        <v>528</v>
      </c>
      <c r="E171" s="80">
        <f>746673.3+1487744.11</f>
        <v>2234417.41</v>
      </c>
      <c r="F171" s="80">
        <v>1521622.36</v>
      </c>
      <c r="G171" s="80">
        <v>1622206.8</v>
      </c>
      <c r="H171" s="80">
        <v>1719034.22</v>
      </c>
      <c r="I171" s="51">
        <v>1707425.21</v>
      </c>
      <c r="J171" s="51"/>
      <c r="K171" s="51"/>
      <c r="L171" s="51"/>
      <c r="M171" s="51"/>
      <c r="N171" s="51"/>
      <c r="O171" s="51"/>
      <c r="P171" s="51"/>
      <c r="Q171" s="53">
        <f t="shared" si="14"/>
        <v>8804706</v>
      </c>
    </row>
    <row r="172" spans="2:17" x14ac:dyDescent="0.2">
      <c r="B172" s="48" t="s">
        <v>526</v>
      </c>
      <c r="C172" s="49" t="s">
        <v>533</v>
      </c>
      <c r="D172" s="49" t="s">
        <v>528</v>
      </c>
      <c r="E172" s="51">
        <v>9366211.1099999994</v>
      </c>
      <c r="F172" s="51">
        <v>2440324.0099999998</v>
      </c>
      <c r="G172" s="51">
        <v>9004197.8900000006</v>
      </c>
      <c r="H172" s="51">
        <v>8677026.5899999999</v>
      </c>
      <c r="I172" s="51">
        <v>9450724.9800000004</v>
      </c>
      <c r="J172" s="51"/>
      <c r="K172" s="51"/>
      <c r="L172" s="51"/>
      <c r="M172" s="51"/>
      <c r="N172" s="51"/>
      <c r="O172" s="51"/>
      <c r="P172" s="51"/>
      <c r="Q172" s="53">
        <f t="shared" si="14"/>
        <v>38938484.579999998</v>
      </c>
    </row>
    <row r="173" spans="2:17" ht="12.75" thickBot="1" x14ac:dyDescent="0.25">
      <c r="B173" s="48" t="s">
        <v>526</v>
      </c>
      <c r="C173" s="49"/>
      <c r="D173" s="49"/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/>
      <c r="K173" s="51"/>
      <c r="L173" s="81"/>
      <c r="M173" s="81"/>
      <c r="N173" s="81"/>
      <c r="O173" s="51"/>
      <c r="P173" s="81"/>
      <c r="Q173" s="53">
        <f t="shared" si="14"/>
        <v>0</v>
      </c>
    </row>
    <row r="174" spans="2:17" ht="13.5" thickTop="1" thickBot="1" x14ac:dyDescent="0.25">
      <c r="B174" s="163" t="s">
        <v>534</v>
      </c>
      <c r="C174" s="164"/>
      <c r="D174" s="165"/>
      <c r="E174" s="55">
        <f t="shared" ref="E174:Q174" si="15">SUM(E167:E173)</f>
        <v>16672565.399999999</v>
      </c>
      <c r="F174" s="55">
        <f t="shared" si="15"/>
        <v>9224019.8099999987</v>
      </c>
      <c r="G174" s="55">
        <f t="shared" si="15"/>
        <v>14579688.57</v>
      </c>
      <c r="H174" s="55">
        <f t="shared" si="15"/>
        <v>15364519.189999999</v>
      </c>
      <c r="I174" s="55">
        <f t="shared" si="15"/>
        <v>16313617.420000002</v>
      </c>
      <c r="J174" s="55">
        <f t="shared" si="15"/>
        <v>1130802.51</v>
      </c>
      <c r="K174" s="55">
        <f t="shared" si="15"/>
        <v>0</v>
      </c>
      <c r="L174" s="55">
        <f t="shared" si="15"/>
        <v>0</v>
      </c>
      <c r="M174" s="55">
        <f t="shared" si="15"/>
        <v>0</v>
      </c>
      <c r="N174" s="55">
        <f t="shared" si="15"/>
        <v>0</v>
      </c>
      <c r="O174" s="55">
        <f t="shared" si="15"/>
        <v>0</v>
      </c>
      <c r="P174" s="55">
        <f t="shared" si="15"/>
        <v>0</v>
      </c>
      <c r="Q174" s="55">
        <f t="shared" si="15"/>
        <v>70470855.590000004</v>
      </c>
    </row>
    <row r="175" spans="2:17" ht="12.75" thickTop="1" x14ac:dyDescent="0.2">
      <c r="I175" s="75"/>
    </row>
    <row r="177" spans="2:17" s="44" customFormat="1" x14ac:dyDescent="0.25">
      <c r="B177" s="46" t="s">
        <v>361</v>
      </c>
      <c r="C177" s="46" t="s">
        <v>362</v>
      </c>
      <c r="D177" s="46" t="s">
        <v>363</v>
      </c>
      <c r="E177" s="47">
        <v>46023</v>
      </c>
      <c r="F177" s="47">
        <v>46054</v>
      </c>
      <c r="G177" s="47">
        <v>46082</v>
      </c>
      <c r="H177" s="47">
        <v>46113</v>
      </c>
      <c r="I177" s="47">
        <v>46143</v>
      </c>
      <c r="J177" s="47">
        <v>46174</v>
      </c>
      <c r="K177" s="47">
        <v>46204</v>
      </c>
      <c r="L177" s="47">
        <v>46235</v>
      </c>
      <c r="M177" s="47">
        <v>46266</v>
      </c>
      <c r="N177" s="47">
        <v>46296</v>
      </c>
      <c r="O177" s="47">
        <v>46327</v>
      </c>
      <c r="P177" s="47">
        <v>46357</v>
      </c>
    </row>
    <row r="178" spans="2:17" x14ac:dyDescent="0.2">
      <c r="B178" s="48" t="s">
        <v>535</v>
      </c>
      <c r="C178" s="49" t="s">
        <v>536</v>
      </c>
      <c r="D178" s="49" t="s">
        <v>537</v>
      </c>
      <c r="E178" s="51">
        <v>0</v>
      </c>
      <c r="F178" s="51">
        <v>0</v>
      </c>
      <c r="G178" s="51">
        <v>0</v>
      </c>
      <c r="H178" s="51">
        <v>34710.74</v>
      </c>
      <c r="I178" s="51"/>
      <c r="J178" s="51"/>
      <c r="K178" s="51"/>
      <c r="L178" s="51"/>
      <c r="M178" s="57"/>
      <c r="N178" s="57"/>
      <c r="O178" s="57"/>
      <c r="P178" s="51"/>
      <c r="Q178" s="58">
        <f t="shared" ref="Q178:Q189" si="16">+P178+O178+N178+M178+L178+K178+J178+I178+H178+G178+F178+E178</f>
        <v>34710.74</v>
      </c>
    </row>
    <row r="179" spans="2:17" x14ac:dyDescent="0.2">
      <c r="B179" s="48" t="s">
        <v>535</v>
      </c>
      <c r="C179" s="49"/>
      <c r="D179" s="49" t="s">
        <v>538</v>
      </c>
      <c r="E179" s="51">
        <v>0</v>
      </c>
      <c r="F179" s="57">
        <v>0</v>
      </c>
      <c r="G179" s="57">
        <v>0</v>
      </c>
      <c r="H179" s="57">
        <v>0</v>
      </c>
      <c r="I179" s="51"/>
      <c r="J179" s="51"/>
      <c r="K179" s="51"/>
      <c r="L179" s="51"/>
      <c r="M179" s="57"/>
      <c r="N179" s="57"/>
      <c r="O179" s="57"/>
      <c r="P179" s="51"/>
      <c r="Q179" s="58">
        <f t="shared" si="16"/>
        <v>0</v>
      </c>
    </row>
    <row r="180" spans="2:17" x14ac:dyDescent="0.2">
      <c r="B180" s="48" t="s">
        <v>535</v>
      </c>
      <c r="C180" s="49"/>
      <c r="D180" s="49" t="s">
        <v>539</v>
      </c>
      <c r="E180" s="51">
        <v>0</v>
      </c>
      <c r="F180" s="57">
        <v>0</v>
      </c>
      <c r="G180" s="57">
        <v>0</v>
      </c>
      <c r="H180" s="57">
        <v>0</v>
      </c>
      <c r="I180" s="51"/>
      <c r="J180" s="51"/>
      <c r="K180" s="51"/>
      <c r="L180" s="51"/>
      <c r="M180" s="57"/>
      <c r="N180" s="57"/>
      <c r="O180" s="57"/>
      <c r="P180" s="51"/>
      <c r="Q180" s="58">
        <f t="shared" si="16"/>
        <v>0</v>
      </c>
    </row>
    <row r="181" spans="2:17" x14ac:dyDescent="0.2">
      <c r="B181" s="48" t="s">
        <v>535</v>
      </c>
      <c r="C181" s="49"/>
      <c r="D181" s="49" t="s">
        <v>540</v>
      </c>
      <c r="E181" s="51">
        <v>0</v>
      </c>
      <c r="F181" s="57">
        <v>0</v>
      </c>
      <c r="G181" s="57">
        <v>0</v>
      </c>
      <c r="H181" s="57">
        <v>0</v>
      </c>
      <c r="I181" s="51"/>
      <c r="J181" s="51"/>
      <c r="K181" s="51"/>
      <c r="L181" s="51"/>
      <c r="M181" s="57"/>
      <c r="N181" s="57"/>
      <c r="O181" s="51"/>
      <c r="P181" s="51"/>
      <c r="Q181" s="58">
        <f t="shared" si="16"/>
        <v>0</v>
      </c>
    </row>
    <row r="182" spans="2:17" x14ac:dyDescent="0.2">
      <c r="B182" s="48" t="s">
        <v>535</v>
      </c>
      <c r="C182" s="49"/>
      <c r="D182" s="49" t="s">
        <v>541</v>
      </c>
      <c r="E182" s="51">
        <v>0</v>
      </c>
      <c r="F182" s="57">
        <v>0</v>
      </c>
      <c r="G182" s="57">
        <v>0</v>
      </c>
      <c r="H182" s="57">
        <v>0</v>
      </c>
      <c r="I182" s="51"/>
      <c r="J182" s="51"/>
      <c r="K182" s="51"/>
      <c r="L182" s="51"/>
      <c r="M182" s="57"/>
      <c r="N182" s="57"/>
      <c r="O182" s="57"/>
      <c r="P182" s="51"/>
      <c r="Q182" s="58">
        <f t="shared" si="16"/>
        <v>0</v>
      </c>
    </row>
    <row r="183" spans="2:17" x14ac:dyDescent="0.2">
      <c r="B183" s="48" t="s">
        <v>535</v>
      </c>
      <c r="C183" s="49"/>
      <c r="D183" s="49" t="s">
        <v>542</v>
      </c>
      <c r="E183" s="51">
        <v>0</v>
      </c>
      <c r="F183" s="57">
        <v>0</v>
      </c>
      <c r="G183" s="57">
        <v>0</v>
      </c>
      <c r="H183" s="57">
        <v>0</v>
      </c>
      <c r="I183" s="51"/>
      <c r="J183" s="51"/>
      <c r="K183" s="51"/>
      <c r="L183" s="51"/>
      <c r="M183" s="57"/>
      <c r="N183" s="57"/>
      <c r="O183" s="57"/>
      <c r="P183" s="51"/>
      <c r="Q183" s="58">
        <f t="shared" si="16"/>
        <v>0</v>
      </c>
    </row>
    <row r="184" spans="2:17" x14ac:dyDescent="0.2">
      <c r="B184" s="48" t="s">
        <v>535</v>
      </c>
      <c r="C184" s="49"/>
      <c r="D184" s="49" t="s">
        <v>543</v>
      </c>
      <c r="E184" s="51">
        <v>0</v>
      </c>
      <c r="F184" s="57">
        <v>0</v>
      </c>
      <c r="G184" s="57">
        <v>0</v>
      </c>
      <c r="H184" s="57">
        <v>0</v>
      </c>
      <c r="I184" s="51"/>
      <c r="J184" s="51"/>
      <c r="K184" s="51"/>
      <c r="L184" s="51"/>
      <c r="M184" s="57"/>
      <c r="N184" s="57"/>
      <c r="O184" s="57"/>
      <c r="P184" s="51"/>
      <c r="Q184" s="58">
        <f t="shared" si="16"/>
        <v>0</v>
      </c>
    </row>
    <row r="185" spans="2:17" x14ac:dyDescent="0.2">
      <c r="B185" s="48" t="s">
        <v>535</v>
      </c>
      <c r="C185" s="49"/>
      <c r="D185" s="49" t="s">
        <v>544</v>
      </c>
      <c r="E185" s="51">
        <v>0</v>
      </c>
      <c r="F185" s="57">
        <v>0</v>
      </c>
      <c r="G185" s="57">
        <v>0</v>
      </c>
      <c r="H185" s="57">
        <v>0</v>
      </c>
      <c r="I185" s="51"/>
      <c r="J185" s="51"/>
      <c r="K185" s="51"/>
      <c r="L185" s="51"/>
      <c r="M185" s="57"/>
      <c r="N185" s="57"/>
      <c r="O185" s="57"/>
      <c r="P185" s="51"/>
      <c r="Q185" s="58">
        <f t="shared" si="16"/>
        <v>0</v>
      </c>
    </row>
    <row r="186" spans="2:17" x14ac:dyDescent="0.2">
      <c r="B186" s="48" t="s">
        <v>535</v>
      </c>
      <c r="C186" s="49"/>
      <c r="D186" s="49" t="s">
        <v>545</v>
      </c>
      <c r="E186" s="51">
        <f>+(268792.82+224965.28)/1.21+185500+37798</f>
        <v>631362.54545454541</v>
      </c>
      <c r="F186" s="57">
        <v>0</v>
      </c>
      <c r="G186" s="57">
        <v>0</v>
      </c>
      <c r="H186" s="57">
        <v>0</v>
      </c>
      <c r="I186" s="51"/>
      <c r="J186" s="51"/>
      <c r="K186" s="51"/>
      <c r="L186" s="51"/>
      <c r="M186" s="57"/>
      <c r="N186" s="57"/>
      <c r="O186" s="57"/>
      <c r="P186" s="51"/>
      <c r="Q186" s="58">
        <f t="shared" si="16"/>
        <v>631362.54545454541</v>
      </c>
    </row>
    <row r="187" spans="2:17" x14ac:dyDescent="0.2">
      <c r="B187" s="48" t="s">
        <v>535</v>
      </c>
      <c r="C187" s="49"/>
      <c r="D187" s="49" t="s">
        <v>546</v>
      </c>
      <c r="E187" s="51">
        <v>3750000</v>
      </c>
      <c r="F187" s="51">
        <v>3750000</v>
      </c>
      <c r="G187" s="51">
        <v>3750000</v>
      </c>
      <c r="H187" s="57">
        <v>0</v>
      </c>
      <c r="I187" s="51"/>
      <c r="J187" s="51"/>
      <c r="K187" s="51"/>
      <c r="L187" s="51"/>
      <c r="M187" s="57"/>
      <c r="N187" s="57"/>
      <c r="O187" s="57"/>
      <c r="P187" s="51"/>
      <c r="Q187" s="58">
        <f t="shared" si="16"/>
        <v>11250000</v>
      </c>
    </row>
    <row r="188" spans="2:17" x14ac:dyDescent="0.2">
      <c r="B188" s="48" t="s">
        <v>535</v>
      </c>
      <c r="C188" s="49" t="s">
        <v>742</v>
      </c>
      <c r="D188" s="49" t="s">
        <v>743</v>
      </c>
      <c r="E188" s="51">
        <v>0</v>
      </c>
      <c r="F188" s="57">
        <v>0</v>
      </c>
      <c r="G188" s="57">
        <v>116694.21</v>
      </c>
      <c r="H188" s="57">
        <v>1709214.77</v>
      </c>
      <c r="I188" s="51">
        <f>782561.7+1715495.76</f>
        <v>2498057.46</v>
      </c>
      <c r="J188" s="51"/>
      <c r="K188" s="51"/>
      <c r="L188" s="51"/>
      <c r="M188" s="57"/>
      <c r="N188" s="57"/>
      <c r="O188" s="57"/>
      <c r="P188" s="51"/>
      <c r="Q188" s="58">
        <f t="shared" si="16"/>
        <v>4323966.4400000004</v>
      </c>
    </row>
    <row r="189" spans="2:17" ht="12.75" thickBot="1" x14ac:dyDescent="0.25">
      <c r="B189" s="48" t="s">
        <v>535</v>
      </c>
      <c r="C189" s="49"/>
      <c r="D189" s="49" t="s">
        <v>547</v>
      </c>
      <c r="E189" s="51">
        <v>0</v>
      </c>
      <c r="F189" s="57">
        <v>0</v>
      </c>
      <c r="G189" s="57">
        <v>0</v>
      </c>
      <c r="H189" s="57">
        <v>0</v>
      </c>
      <c r="I189" s="51">
        <v>142350</v>
      </c>
      <c r="J189" s="51"/>
      <c r="K189" s="51"/>
      <c r="L189" s="51"/>
      <c r="M189" s="57"/>
      <c r="N189" s="57"/>
      <c r="O189" s="57"/>
      <c r="P189" s="51"/>
      <c r="Q189" s="58">
        <f t="shared" si="16"/>
        <v>142350</v>
      </c>
    </row>
    <row r="190" spans="2:17" ht="13.5" thickTop="1" thickBot="1" x14ac:dyDescent="0.25">
      <c r="B190" s="163" t="s">
        <v>548</v>
      </c>
      <c r="C190" s="164"/>
      <c r="D190" s="165"/>
      <c r="E190" s="55">
        <f t="shared" ref="E190:Q190" si="17">SUM(E178:E189)</f>
        <v>4381362.5454545449</v>
      </c>
      <c r="F190" s="55">
        <f t="shared" si="17"/>
        <v>3750000</v>
      </c>
      <c r="G190" s="55">
        <f t="shared" si="17"/>
        <v>3866694.21</v>
      </c>
      <c r="H190" s="55">
        <f t="shared" si="17"/>
        <v>1743925.51</v>
      </c>
      <c r="I190" s="55">
        <f t="shared" si="17"/>
        <v>2640407.46</v>
      </c>
      <c r="J190" s="55">
        <f t="shared" si="17"/>
        <v>0</v>
      </c>
      <c r="K190" s="55">
        <f t="shared" si="17"/>
        <v>0</v>
      </c>
      <c r="L190" s="55">
        <f t="shared" si="17"/>
        <v>0</v>
      </c>
      <c r="M190" s="55">
        <f t="shared" si="17"/>
        <v>0</v>
      </c>
      <c r="N190" s="55">
        <f t="shared" si="17"/>
        <v>0</v>
      </c>
      <c r="O190" s="55">
        <f t="shared" si="17"/>
        <v>0</v>
      </c>
      <c r="P190" s="55">
        <f t="shared" si="17"/>
        <v>0</v>
      </c>
      <c r="Q190" s="55">
        <f t="shared" si="17"/>
        <v>16382389.725454547</v>
      </c>
    </row>
    <row r="191" spans="2:17" ht="12.75" thickTop="1" x14ac:dyDescent="0.2"/>
    <row r="192" spans="2:17" s="44" customFormat="1" x14ac:dyDescent="0.25">
      <c r="B192" s="46" t="s">
        <v>361</v>
      </c>
      <c r="C192" s="46" t="s">
        <v>362</v>
      </c>
      <c r="D192" s="46" t="s">
        <v>363</v>
      </c>
      <c r="E192" s="47">
        <v>46023</v>
      </c>
      <c r="F192" s="47">
        <v>46054</v>
      </c>
      <c r="G192" s="47">
        <v>46082</v>
      </c>
      <c r="H192" s="47">
        <v>46113</v>
      </c>
      <c r="I192" s="47">
        <v>46143</v>
      </c>
      <c r="J192" s="47">
        <v>46174</v>
      </c>
      <c r="K192" s="47">
        <v>46204</v>
      </c>
      <c r="L192" s="47">
        <v>46235</v>
      </c>
      <c r="M192" s="47">
        <v>46266</v>
      </c>
      <c r="N192" s="47">
        <v>46296</v>
      </c>
      <c r="O192" s="47">
        <v>46327</v>
      </c>
      <c r="P192" s="47">
        <v>46357</v>
      </c>
    </row>
    <row r="193" spans="2:18" x14ac:dyDescent="0.2">
      <c r="B193" s="48" t="s">
        <v>483</v>
      </c>
      <c r="C193" s="49" t="s">
        <v>518</v>
      </c>
      <c r="D193" s="49" t="s">
        <v>519</v>
      </c>
      <c r="E193" s="57">
        <f>19991.32+19991.32+19991.32+19991.32+19991.32+19991.32+19991.32+41.32+19950+41.32+19950+39900+39900+19950+82.64+39900+79800+59891.32</f>
        <v>459345.84</v>
      </c>
      <c r="F193" s="57">
        <f>42300+42300+126900+21191.32+247.93+21191.32+21150+42878.51+84600+63491.32+21191.32+42300+21191.32+42300+21150</f>
        <v>614383.03999999992</v>
      </c>
      <c r="G193" s="57">
        <f>63450+21150+63450+105750+63450+42300</f>
        <v>359550</v>
      </c>
      <c r="H193" s="51">
        <v>1396114.87</v>
      </c>
      <c r="I193" s="57">
        <v>808447.92</v>
      </c>
      <c r="J193" s="57"/>
      <c r="K193" s="57"/>
      <c r="L193" s="51"/>
      <c r="M193" s="57"/>
      <c r="N193" s="57"/>
      <c r="O193" s="57"/>
      <c r="P193" s="57"/>
      <c r="Q193" s="58">
        <f>+P193+O193+N193+M193+L193+K193+J193+I193+H193+G193+F193+E193</f>
        <v>3637841.67</v>
      </c>
    </row>
    <row r="194" spans="2:18" x14ac:dyDescent="0.2">
      <c r="B194" s="48" t="s">
        <v>549</v>
      </c>
      <c r="C194" s="49"/>
      <c r="D194" s="49" t="s">
        <v>550</v>
      </c>
      <c r="E194" s="66">
        <f>464000+37018.18+138823.14+104117.36+104117.36+86764.46</f>
        <v>934840.5</v>
      </c>
      <c r="F194" s="66">
        <f>500429.75+490600+43000</f>
        <v>1034029.75</v>
      </c>
      <c r="G194" s="51">
        <v>400950</v>
      </c>
      <c r="H194" s="51">
        <v>0</v>
      </c>
      <c r="I194" s="66">
        <v>528462.86</v>
      </c>
      <c r="J194" s="66"/>
      <c r="K194" s="66"/>
      <c r="L194" s="66"/>
      <c r="M194" s="66"/>
      <c r="N194" s="66"/>
      <c r="O194" s="66"/>
      <c r="P194" s="66"/>
      <c r="Q194" s="53">
        <f t="shared" ref="Q194:Q215" si="18">+P194+O194+N194+M194+L194+K194+J194+I194+H194+G194+F194+E194</f>
        <v>2898283.11</v>
      </c>
    </row>
    <row r="195" spans="2:18" x14ac:dyDescent="0.2">
      <c r="B195" s="48" t="s">
        <v>549</v>
      </c>
      <c r="C195" s="49"/>
      <c r="D195" s="49" t="s">
        <v>551</v>
      </c>
      <c r="E195" s="66">
        <v>0</v>
      </c>
      <c r="F195" s="66">
        <f>500000*2</f>
        <v>1000000</v>
      </c>
      <c r="G195" s="51">
        <v>0</v>
      </c>
      <c r="H195" s="51">
        <v>112727.27</v>
      </c>
      <c r="I195" s="66"/>
      <c r="J195" s="66">
        <f>69000+414000+69000</f>
        <v>552000</v>
      </c>
      <c r="K195" s="66"/>
      <c r="L195" s="66"/>
      <c r="M195" s="66"/>
      <c r="N195" s="66"/>
      <c r="O195" s="66"/>
      <c r="P195" s="66"/>
      <c r="Q195" s="53">
        <f t="shared" si="18"/>
        <v>1664727.27</v>
      </c>
    </row>
    <row r="196" spans="2:18" x14ac:dyDescent="0.2">
      <c r="B196" s="48" t="s">
        <v>549</v>
      </c>
      <c r="C196" s="49" t="s">
        <v>283</v>
      </c>
      <c r="D196" s="49" t="s">
        <v>552</v>
      </c>
      <c r="E196" s="51">
        <f>158160.33+135289.26</f>
        <v>293449.58999999997</v>
      </c>
      <c r="F196" s="51"/>
      <c r="G196" s="51">
        <f>112727.27+101200+14545.45</f>
        <v>228472.72000000003</v>
      </c>
      <c r="H196" s="51">
        <v>151800</v>
      </c>
      <c r="I196" s="57"/>
      <c r="J196" s="57"/>
      <c r="K196" s="51"/>
      <c r="L196" s="51"/>
      <c r="M196" s="57"/>
      <c r="N196" s="57"/>
      <c r="O196" s="66"/>
      <c r="P196" s="57"/>
      <c r="Q196" s="53">
        <f t="shared" si="18"/>
        <v>673722.31</v>
      </c>
    </row>
    <row r="197" spans="2:18" x14ac:dyDescent="0.2">
      <c r="B197" s="48" t="s">
        <v>549</v>
      </c>
      <c r="C197" s="49"/>
      <c r="D197" s="49" t="s">
        <v>553</v>
      </c>
      <c r="E197" s="51">
        <f>66611.57+47768.6+33636.36+30495.87</f>
        <v>178512.40000000002</v>
      </c>
      <c r="F197" s="51">
        <f>45123.97+40499.99+17190.08+54100</f>
        <v>156914.03999999998</v>
      </c>
      <c r="G197" s="51">
        <f>348500+314500+17190.08</f>
        <v>680190.08</v>
      </c>
      <c r="H197" s="51">
        <f>280500+391000</f>
        <v>671500</v>
      </c>
      <c r="I197" s="57">
        <f>348500+340000</f>
        <v>688500</v>
      </c>
      <c r="J197" s="57">
        <v>303600</v>
      </c>
      <c r="K197" s="51"/>
      <c r="L197" s="51"/>
      <c r="M197" s="57"/>
      <c r="N197" s="57"/>
      <c r="O197" s="66"/>
      <c r="P197" s="57"/>
      <c r="Q197" s="53"/>
    </row>
    <row r="198" spans="2:18" x14ac:dyDescent="0.2">
      <c r="B198" s="48" t="s">
        <v>549</v>
      </c>
      <c r="C198" s="49" t="s">
        <v>554</v>
      </c>
      <c r="D198" s="49" t="s">
        <v>555</v>
      </c>
      <c r="E198" s="51">
        <f>41800+57200+72727.27+77700+65100+39930</f>
        <v>354457.27</v>
      </c>
      <c r="F198" s="51">
        <v>0</v>
      </c>
      <c r="G198" s="51">
        <f>23000+20700+48300</f>
        <v>92000</v>
      </c>
      <c r="H198" s="51">
        <f>16100+18400+151800</f>
        <v>186300</v>
      </c>
      <c r="I198" s="51">
        <f>68200+145454.54</f>
        <v>213654.54</v>
      </c>
      <c r="J198" s="57"/>
      <c r="K198" s="51"/>
      <c r="L198" s="51"/>
      <c r="M198" s="57"/>
      <c r="N198" s="57"/>
      <c r="O198" s="66"/>
      <c r="P198" s="57"/>
      <c r="Q198" s="53">
        <f t="shared" si="18"/>
        <v>846411.81</v>
      </c>
    </row>
    <row r="199" spans="2:18" x14ac:dyDescent="0.2">
      <c r="B199" s="48" t="s">
        <v>549</v>
      </c>
      <c r="C199" s="49"/>
      <c r="D199" s="49" t="s">
        <v>556</v>
      </c>
      <c r="E199" s="51">
        <v>0</v>
      </c>
      <c r="F199" s="51">
        <v>0</v>
      </c>
      <c r="G199" s="51">
        <v>0</v>
      </c>
      <c r="H199" s="51">
        <v>0</v>
      </c>
      <c r="I199" s="57"/>
      <c r="J199" s="57"/>
      <c r="K199" s="51"/>
      <c r="L199" s="51"/>
      <c r="M199" s="57"/>
      <c r="N199" s="57"/>
      <c r="O199" s="66"/>
      <c r="P199" s="57"/>
      <c r="Q199" s="53">
        <f t="shared" si="18"/>
        <v>0</v>
      </c>
    </row>
    <row r="200" spans="2:18" x14ac:dyDescent="0.2">
      <c r="B200" s="48" t="s">
        <v>549</v>
      </c>
      <c r="C200" s="49"/>
      <c r="D200" s="49" t="s">
        <v>557</v>
      </c>
      <c r="E200" s="51">
        <f>207218.68+2500000</f>
        <v>2707218.68</v>
      </c>
      <c r="F200" s="51">
        <v>0</v>
      </c>
      <c r="G200" s="51">
        <v>0</v>
      </c>
      <c r="H200" s="51">
        <v>0</v>
      </c>
      <c r="I200" s="51"/>
      <c r="J200" s="57"/>
      <c r="K200" s="51"/>
      <c r="L200" s="51"/>
      <c r="M200" s="57"/>
      <c r="N200" s="57"/>
      <c r="O200" s="66"/>
      <c r="P200" s="57"/>
      <c r="Q200" s="53">
        <f t="shared" si="18"/>
        <v>2707218.68</v>
      </c>
    </row>
    <row r="201" spans="2:18" x14ac:dyDescent="0.2">
      <c r="B201" s="48" t="s">
        <v>549</v>
      </c>
      <c r="C201" s="49"/>
      <c r="D201" s="49" t="s">
        <v>558</v>
      </c>
      <c r="E201" s="51">
        <v>13845</v>
      </c>
      <c r="F201" s="66">
        <v>0</v>
      </c>
      <c r="G201" s="66">
        <v>285028.3</v>
      </c>
      <c r="H201" s="51">
        <v>0</v>
      </c>
      <c r="I201" s="57">
        <v>0</v>
      </c>
      <c r="J201" s="57">
        <v>403211.86</v>
      </c>
      <c r="K201" s="51"/>
      <c r="L201" s="51"/>
      <c r="M201" s="57"/>
      <c r="N201" s="57"/>
      <c r="O201" s="57"/>
      <c r="P201" s="57"/>
      <c r="Q201" s="53">
        <f t="shared" si="18"/>
        <v>702085.15999999992</v>
      </c>
    </row>
    <row r="202" spans="2:18" x14ac:dyDescent="0.2">
      <c r="B202" s="48" t="s">
        <v>549</v>
      </c>
      <c r="C202" s="49" t="s">
        <v>559</v>
      </c>
      <c r="D202" s="49" t="s">
        <v>560</v>
      </c>
      <c r="E202" s="51">
        <f>49494+526936.85</f>
        <v>576430.85</v>
      </c>
      <c r="F202" s="51">
        <v>420126.11</v>
      </c>
      <c r="G202" s="51">
        <v>431241.1</v>
      </c>
      <c r="H202" s="51">
        <v>439135.23</v>
      </c>
      <c r="I202" s="57">
        <v>484915.76</v>
      </c>
      <c r="J202" s="57">
        <v>427115.45</v>
      </c>
      <c r="K202" s="51"/>
      <c r="L202" s="51"/>
      <c r="M202" s="57"/>
      <c r="N202" s="57"/>
      <c r="O202" s="66"/>
      <c r="P202" s="57"/>
      <c r="Q202" s="53">
        <f t="shared" si="18"/>
        <v>2778964.5</v>
      </c>
    </row>
    <row r="203" spans="2:18" x14ac:dyDescent="0.2">
      <c r="B203" s="48" t="s">
        <v>549</v>
      </c>
      <c r="C203" s="79" t="s">
        <v>561</v>
      </c>
      <c r="D203" s="49" t="s">
        <v>562</v>
      </c>
      <c r="E203" s="51">
        <v>795545.25</v>
      </c>
      <c r="F203" s="51">
        <v>720228.27</v>
      </c>
      <c r="G203" s="51">
        <v>816210.02</v>
      </c>
      <c r="H203" s="51">
        <v>1785411.24</v>
      </c>
      <c r="I203" s="57">
        <v>1399809.48</v>
      </c>
      <c r="J203" s="66">
        <v>1483168.55</v>
      </c>
      <c r="K203" s="66"/>
      <c r="L203" s="66"/>
      <c r="M203" s="66"/>
      <c r="N203" s="66"/>
      <c r="O203" s="66"/>
      <c r="P203" s="66"/>
      <c r="Q203" s="53">
        <f t="shared" si="18"/>
        <v>7000372.8100000005</v>
      </c>
    </row>
    <row r="204" spans="2:18" x14ac:dyDescent="0.2">
      <c r="B204" s="48" t="s">
        <v>549</v>
      </c>
      <c r="C204" s="79" t="s">
        <v>286</v>
      </c>
      <c r="D204" s="49" t="s">
        <v>563</v>
      </c>
      <c r="E204" s="51">
        <v>1139190</v>
      </c>
      <c r="F204" s="51">
        <v>2576275</v>
      </c>
      <c r="G204" s="51">
        <v>2063100</v>
      </c>
      <c r="H204" s="51">
        <v>1469720</v>
      </c>
      <c r="I204" s="57">
        <f>1368245+263340</f>
        <v>1631585</v>
      </c>
      <c r="J204" s="66">
        <f>1315160+1573640</f>
        <v>2888800</v>
      </c>
      <c r="K204" s="66"/>
      <c r="L204" s="66"/>
      <c r="M204" s="66"/>
      <c r="N204" s="66"/>
      <c r="O204" s="66"/>
      <c r="P204" s="66"/>
      <c r="Q204" s="53">
        <f t="shared" si="18"/>
        <v>11768670</v>
      </c>
    </row>
    <row r="205" spans="2:18" x14ac:dyDescent="0.2">
      <c r="B205" s="48" t="s">
        <v>549</v>
      </c>
      <c r="C205" s="49" t="s">
        <v>293</v>
      </c>
      <c r="D205" s="49" t="s">
        <v>564</v>
      </c>
      <c r="E205" s="51">
        <v>1052791.8600000001</v>
      </c>
      <c r="F205" s="51">
        <v>1052791.8600000001</v>
      </c>
      <c r="G205" s="51">
        <v>1101220.29</v>
      </c>
      <c r="H205" s="51">
        <v>1101220.29</v>
      </c>
      <c r="I205" s="51">
        <v>1101220.29</v>
      </c>
      <c r="J205" s="51">
        <v>1160686.19</v>
      </c>
      <c r="K205" s="66"/>
      <c r="L205" s="66"/>
      <c r="M205" s="66"/>
      <c r="N205" s="66"/>
      <c r="O205" s="66"/>
      <c r="P205" s="66"/>
      <c r="Q205" s="53">
        <f t="shared" si="18"/>
        <v>6569930.7800000012</v>
      </c>
      <c r="R205" s="82" t="e">
        <f>+P205/O205-1</f>
        <v>#DIV/0!</v>
      </c>
    </row>
    <row r="206" spans="2:18" x14ac:dyDescent="0.2">
      <c r="B206" s="48" t="s">
        <v>549</v>
      </c>
      <c r="C206" s="49" t="s">
        <v>296</v>
      </c>
      <c r="D206" s="49" t="s">
        <v>565</v>
      </c>
      <c r="E206" s="51">
        <v>1250338.75</v>
      </c>
      <c r="F206" s="51">
        <v>1250339.68</v>
      </c>
      <c r="G206" s="51">
        <v>1250339.68</v>
      </c>
      <c r="H206" s="83">
        <f>1224895.39-125033.97</f>
        <v>1099861.42</v>
      </c>
      <c r="I206" s="83">
        <v>1224895.3899999999</v>
      </c>
      <c r="J206" s="83">
        <v>1224895.3899999999</v>
      </c>
      <c r="K206" s="66"/>
      <c r="L206" s="66"/>
      <c r="M206" s="66"/>
      <c r="N206" s="66"/>
      <c r="O206" s="66"/>
      <c r="P206" s="66"/>
      <c r="Q206" s="53">
        <f t="shared" si="18"/>
        <v>7300670.3099999996</v>
      </c>
    </row>
    <row r="207" spans="2:18" x14ac:dyDescent="0.2">
      <c r="B207" s="48" t="s">
        <v>549</v>
      </c>
      <c r="C207" s="49" t="s">
        <v>566</v>
      </c>
      <c r="D207" s="49" t="s">
        <v>567</v>
      </c>
      <c r="E207" s="51" t="e">
        <f>6.99*#REF!</f>
        <v>#REF!</v>
      </c>
      <c r="F207" s="57" t="e">
        <f>6.99*#REF!</f>
        <v>#REF!</v>
      </c>
      <c r="G207" s="51" t="e">
        <f>6.99*#REF!</f>
        <v>#REF!</v>
      </c>
      <c r="H207" s="51">
        <v>0</v>
      </c>
      <c r="I207" s="51"/>
      <c r="J207" s="51"/>
      <c r="K207" s="66"/>
      <c r="L207" s="66"/>
      <c r="M207" s="66"/>
      <c r="N207" s="66"/>
      <c r="O207" s="66"/>
      <c r="P207" s="51"/>
      <c r="Q207" s="53" t="e">
        <f t="shared" si="18"/>
        <v>#REF!</v>
      </c>
    </row>
    <row r="208" spans="2:18" x14ac:dyDescent="0.2">
      <c r="B208" s="48" t="s">
        <v>549</v>
      </c>
      <c r="C208" s="49"/>
      <c r="D208" s="49" t="s">
        <v>568</v>
      </c>
      <c r="E208" s="57" t="e">
        <f>124.88*#REF!</f>
        <v>#REF!</v>
      </c>
      <c r="F208" s="57" t="e">
        <f>34.61*#REF!</f>
        <v>#REF!</v>
      </c>
      <c r="G208" s="51" t="e">
        <f>131.65*#REF!</f>
        <v>#REF!</v>
      </c>
      <c r="H208" s="51">
        <v>0</v>
      </c>
      <c r="I208" s="51"/>
      <c r="J208" s="66"/>
      <c r="K208" s="51"/>
      <c r="L208" s="51"/>
      <c r="M208" s="51"/>
      <c r="N208" s="51"/>
      <c r="O208" s="66"/>
      <c r="P208" s="51"/>
      <c r="Q208" s="53" t="e">
        <f t="shared" si="18"/>
        <v>#REF!</v>
      </c>
    </row>
    <row r="209" spans="2:17" x14ac:dyDescent="0.2">
      <c r="B209" s="48" t="s">
        <v>549</v>
      </c>
      <c r="C209" s="49"/>
      <c r="D209" s="49" t="s">
        <v>569</v>
      </c>
      <c r="E209" s="51" t="e">
        <f>27.98*#REF!</f>
        <v>#REF!</v>
      </c>
      <c r="F209" s="57" t="e">
        <f>28.96*#REF!</f>
        <v>#REF!</v>
      </c>
      <c r="G209" s="80" t="e">
        <f>29.01*#REF!</f>
        <v>#REF!</v>
      </c>
      <c r="H209" s="51">
        <v>42060.4</v>
      </c>
      <c r="I209" s="51">
        <v>41702.400000000001</v>
      </c>
      <c r="J209" s="51"/>
      <c r="K209" s="66"/>
      <c r="L209" s="51"/>
      <c r="M209" s="51"/>
      <c r="N209" s="51"/>
      <c r="O209" s="51"/>
      <c r="P209" s="51"/>
      <c r="Q209" s="53" t="e">
        <f t="shared" si="18"/>
        <v>#REF!</v>
      </c>
    </row>
    <row r="210" spans="2:17" x14ac:dyDescent="0.2">
      <c r="B210" s="48" t="s">
        <v>549</v>
      </c>
      <c r="C210" s="49"/>
      <c r="D210" s="49" t="s">
        <v>570</v>
      </c>
      <c r="E210" s="51">
        <v>0</v>
      </c>
      <c r="F210" s="57">
        <v>0</v>
      </c>
      <c r="G210" s="80">
        <v>0</v>
      </c>
      <c r="H210" s="51">
        <v>0</v>
      </c>
      <c r="I210" s="51">
        <v>432900</v>
      </c>
      <c r="J210" s="66"/>
      <c r="K210" s="51"/>
      <c r="L210" s="66"/>
      <c r="M210" s="66"/>
      <c r="N210" s="66"/>
      <c r="O210" s="66"/>
      <c r="P210" s="51"/>
      <c r="Q210" s="53">
        <f t="shared" si="18"/>
        <v>432900</v>
      </c>
    </row>
    <row r="211" spans="2:17" x14ac:dyDescent="0.2">
      <c r="B211" s="48" t="s">
        <v>549</v>
      </c>
      <c r="C211" s="49"/>
      <c r="D211" s="49" t="s">
        <v>571</v>
      </c>
      <c r="E211" s="66">
        <v>0</v>
      </c>
      <c r="F211" s="57">
        <v>0</v>
      </c>
      <c r="G211" s="66">
        <v>310000</v>
      </c>
      <c r="H211" s="66">
        <v>0</v>
      </c>
      <c r="I211" s="66"/>
      <c r="J211" s="66"/>
      <c r="K211" s="66"/>
      <c r="L211" s="57"/>
      <c r="M211" s="66"/>
      <c r="N211" s="66"/>
      <c r="O211" s="66"/>
      <c r="P211" s="57"/>
      <c r="Q211" s="53">
        <f t="shared" si="18"/>
        <v>310000</v>
      </c>
    </row>
    <row r="212" spans="2:17" ht="14.25" customHeight="1" x14ac:dyDescent="0.2">
      <c r="B212" s="48" t="s">
        <v>549</v>
      </c>
      <c r="C212" s="49"/>
      <c r="D212" s="49" t="s">
        <v>572</v>
      </c>
      <c r="E212" s="66">
        <v>0</v>
      </c>
      <c r="F212" s="57">
        <v>0</v>
      </c>
      <c r="G212" s="66">
        <v>0</v>
      </c>
      <c r="H212" s="66">
        <v>84542.9</v>
      </c>
      <c r="I212" s="66"/>
      <c r="J212" s="66"/>
      <c r="K212" s="66"/>
      <c r="L212" s="57"/>
      <c r="M212" s="66"/>
      <c r="N212" s="66"/>
      <c r="O212" s="66"/>
      <c r="P212" s="57"/>
      <c r="Q212" s="53">
        <f t="shared" si="18"/>
        <v>84542.9</v>
      </c>
    </row>
    <row r="213" spans="2:17" ht="14.25" customHeight="1" x14ac:dyDescent="0.2">
      <c r="B213" s="48" t="s">
        <v>549</v>
      </c>
      <c r="C213" s="49" t="s">
        <v>573</v>
      </c>
      <c r="D213" s="49" t="s">
        <v>574</v>
      </c>
      <c r="E213" s="66">
        <v>0</v>
      </c>
      <c r="F213" s="57">
        <v>0</v>
      </c>
      <c r="G213" s="66">
        <v>0</v>
      </c>
      <c r="H213" s="66">
        <v>11345.800000000001</v>
      </c>
      <c r="I213" s="66">
        <v>11505.6</v>
      </c>
      <c r="J213" s="66"/>
      <c r="K213" s="66"/>
      <c r="L213" s="57"/>
      <c r="M213" s="66"/>
      <c r="N213" s="66"/>
      <c r="O213" s="66"/>
      <c r="P213" s="57"/>
      <c r="Q213" s="53">
        <f t="shared" si="18"/>
        <v>22851.4</v>
      </c>
    </row>
    <row r="214" spans="2:17" ht="14.25" customHeight="1" x14ac:dyDescent="0.2">
      <c r="B214" s="48" t="s">
        <v>549</v>
      </c>
      <c r="C214" s="49" t="s">
        <v>575</v>
      </c>
      <c r="D214" s="49" t="s">
        <v>576</v>
      </c>
      <c r="E214" s="57"/>
      <c r="F214" s="57"/>
      <c r="G214" s="51"/>
      <c r="H214" s="51">
        <f>84100+98000</f>
        <v>182100</v>
      </c>
      <c r="I214" s="66">
        <v>106000</v>
      </c>
      <c r="J214" s="66"/>
      <c r="K214" s="66"/>
      <c r="L214" s="57"/>
      <c r="M214" s="66"/>
      <c r="N214" s="66"/>
      <c r="O214" s="66"/>
      <c r="P214" s="57"/>
      <c r="Q214" s="53"/>
    </row>
    <row r="215" spans="2:17" ht="14.25" customHeight="1" thickBot="1" x14ac:dyDescent="0.25">
      <c r="B215" s="48" t="s">
        <v>549</v>
      </c>
      <c r="C215" s="49"/>
      <c r="D215" s="49" t="s">
        <v>577</v>
      </c>
      <c r="E215" s="66">
        <v>0</v>
      </c>
      <c r="F215" s="57">
        <v>0</v>
      </c>
      <c r="G215" s="66">
        <v>0</v>
      </c>
      <c r="H215" s="66">
        <v>0</v>
      </c>
      <c r="I215" s="66">
        <f>433586.78+809145.48</f>
        <v>1242732.26</v>
      </c>
      <c r="J215" s="66">
        <v>254540</v>
      </c>
      <c r="K215" s="66"/>
      <c r="L215" s="57"/>
      <c r="M215" s="66"/>
      <c r="N215" s="66"/>
      <c r="O215" s="66"/>
      <c r="P215" s="57"/>
      <c r="Q215" s="53">
        <f t="shared" si="18"/>
        <v>1497272.26</v>
      </c>
    </row>
    <row r="216" spans="2:17" ht="13.5" thickTop="1" thickBot="1" x14ac:dyDescent="0.25">
      <c r="B216" s="163" t="s">
        <v>578</v>
      </c>
      <c r="C216" s="164"/>
      <c r="D216" s="165"/>
      <c r="E216" s="55" t="e">
        <f t="shared" ref="E216:P216" si="19">SUM(E193:E215)</f>
        <v>#REF!</v>
      </c>
      <c r="F216" s="55" t="e">
        <f t="shared" si="19"/>
        <v>#REF!</v>
      </c>
      <c r="G216" s="55" t="e">
        <f t="shared" si="19"/>
        <v>#REF!</v>
      </c>
      <c r="H216" s="55">
        <f t="shared" si="19"/>
        <v>8733839.4200000018</v>
      </c>
      <c r="I216" s="55">
        <f t="shared" si="19"/>
        <v>9916331.5</v>
      </c>
      <c r="J216" s="55">
        <f t="shared" si="19"/>
        <v>8698017.4399999995</v>
      </c>
      <c r="K216" s="55">
        <f t="shared" si="19"/>
        <v>0</v>
      </c>
      <c r="L216" s="55">
        <f t="shared" si="19"/>
        <v>0</v>
      </c>
      <c r="M216" s="55">
        <f t="shared" si="19"/>
        <v>0</v>
      </c>
      <c r="N216" s="55">
        <f t="shared" si="19"/>
        <v>0</v>
      </c>
      <c r="O216" s="55">
        <f t="shared" si="19"/>
        <v>0</v>
      </c>
      <c r="P216" s="55">
        <f t="shared" si="19"/>
        <v>0</v>
      </c>
      <c r="Q216" s="55" t="e">
        <f>SUM(Q194:Q215)</f>
        <v>#REF!</v>
      </c>
    </row>
    <row r="217" spans="2:17" ht="12.75" thickTop="1" x14ac:dyDescent="0.2"/>
    <row r="219" spans="2:17" s="44" customFormat="1" x14ac:dyDescent="0.25">
      <c r="B219" s="46" t="s">
        <v>361</v>
      </c>
      <c r="C219" s="46" t="s">
        <v>362</v>
      </c>
      <c r="D219" s="46" t="s">
        <v>363</v>
      </c>
      <c r="E219" s="47">
        <v>46023</v>
      </c>
      <c r="F219" s="47">
        <v>46054</v>
      </c>
      <c r="G219" s="47">
        <v>46082</v>
      </c>
      <c r="H219" s="47">
        <v>46113</v>
      </c>
      <c r="I219" s="47">
        <v>46143</v>
      </c>
      <c r="J219" s="47">
        <v>46174</v>
      </c>
      <c r="K219" s="47">
        <v>46204</v>
      </c>
      <c r="L219" s="47">
        <v>46235</v>
      </c>
      <c r="M219" s="47">
        <v>46266</v>
      </c>
      <c r="N219" s="47">
        <v>46296</v>
      </c>
      <c r="O219" s="47">
        <v>46327</v>
      </c>
      <c r="P219" s="47">
        <v>46357</v>
      </c>
    </row>
    <row r="220" spans="2:17" x14ac:dyDescent="0.2">
      <c r="B220" s="48" t="s">
        <v>579</v>
      </c>
      <c r="C220" s="49" t="s">
        <v>292</v>
      </c>
      <c r="D220" s="49" t="s">
        <v>580</v>
      </c>
      <c r="E220" s="51">
        <v>442000</v>
      </c>
      <c r="F220" s="51">
        <v>442000</v>
      </c>
      <c r="G220" s="51">
        <v>442000</v>
      </c>
      <c r="H220" s="51">
        <v>442000</v>
      </c>
      <c r="I220" s="51">
        <v>442000</v>
      </c>
      <c r="J220" s="57"/>
      <c r="K220" s="51"/>
      <c r="L220" s="57"/>
      <c r="M220" s="57"/>
      <c r="N220" s="57"/>
      <c r="O220" s="51"/>
      <c r="P220" s="51"/>
      <c r="Q220" s="58">
        <f t="shared" ref="Q220:Q242" si="20">+P220+O220+N220+M220+L220+K220+J220+I220+H220+G220+F220+E220</f>
        <v>2210000</v>
      </c>
    </row>
    <row r="221" spans="2:17" x14ac:dyDescent="0.2">
      <c r="B221" s="48" t="s">
        <v>579</v>
      </c>
      <c r="C221" s="49"/>
      <c r="D221" s="49" t="s">
        <v>581</v>
      </c>
      <c r="E221" s="51">
        <f>1109359.59+19896.46</f>
        <v>1129256.05</v>
      </c>
      <c r="F221" s="51">
        <v>22256.61</v>
      </c>
      <c r="G221" s="51">
        <f>563516.34+90959.22+1001094.49</f>
        <v>1655570.0499999998</v>
      </c>
      <c r="H221" s="51">
        <v>1693322</v>
      </c>
      <c r="I221" s="57">
        <v>1377226</v>
      </c>
      <c r="J221" s="51"/>
      <c r="K221" s="51"/>
      <c r="L221" s="57"/>
      <c r="M221" s="57"/>
      <c r="N221" s="51"/>
      <c r="O221" s="51"/>
      <c r="P221" s="51"/>
      <c r="Q221" s="58">
        <f t="shared" si="20"/>
        <v>5877630.71</v>
      </c>
    </row>
    <row r="222" spans="2:17" x14ac:dyDescent="0.2">
      <c r="B222" s="48" t="s">
        <v>579</v>
      </c>
      <c r="C222" s="49"/>
      <c r="D222" s="49" t="s">
        <v>581</v>
      </c>
      <c r="E222" s="51">
        <v>0</v>
      </c>
      <c r="F222" s="51">
        <v>0</v>
      </c>
      <c r="G222" s="51">
        <v>0</v>
      </c>
      <c r="H222" s="51">
        <v>818945.69</v>
      </c>
      <c r="I222" s="57">
        <f>10219.64+1203956.46</f>
        <v>1214176.0999999999</v>
      </c>
      <c r="J222" s="51"/>
      <c r="K222" s="51"/>
      <c r="L222" s="57"/>
      <c r="M222" s="57"/>
      <c r="N222" s="51"/>
      <c r="O222" s="51"/>
      <c r="P222" s="51"/>
      <c r="Q222" s="58"/>
    </row>
    <row r="223" spans="2:17" x14ac:dyDescent="0.2">
      <c r="B223" s="48" t="s">
        <v>579</v>
      </c>
      <c r="C223" s="49" t="s">
        <v>582</v>
      </c>
      <c r="D223" s="49" t="s">
        <v>417</v>
      </c>
      <c r="E223" s="84">
        <v>163634.34</v>
      </c>
      <c r="F223" s="84">
        <v>806497.6</v>
      </c>
      <c r="G223" s="51">
        <v>518585.36</v>
      </c>
      <c r="H223" s="51">
        <f>64028.93+22274.38+43073.55+77681.82+26900.83</f>
        <v>233959.51</v>
      </c>
      <c r="I223" s="51">
        <f>224095.04+396229.34+25752.07+17319.42+22886.78+35680.17+5132.23</f>
        <v>727095.05</v>
      </c>
      <c r="J223" s="51"/>
      <c r="K223" s="51"/>
      <c r="L223" s="51"/>
      <c r="M223" s="80"/>
      <c r="N223" s="80"/>
      <c r="O223" s="80"/>
      <c r="P223" s="51"/>
      <c r="Q223" s="58">
        <f t="shared" si="20"/>
        <v>2449771.86</v>
      </c>
    </row>
    <row r="224" spans="2:17" x14ac:dyDescent="0.2">
      <c r="B224" s="48" t="s">
        <v>579</v>
      </c>
      <c r="C224" s="49" t="s">
        <v>583</v>
      </c>
      <c r="D224" s="49" t="s">
        <v>584</v>
      </c>
      <c r="E224" s="51">
        <v>130000</v>
      </c>
      <c r="F224" s="51">
        <v>180000</v>
      </c>
      <c r="G224" s="51">
        <v>300000</v>
      </c>
      <c r="H224" s="51">
        <v>130000</v>
      </c>
      <c r="I224" s="51">
        <v>130000</v>
      </c>
      <c r="J224" s="51">
        <v>130000</v>
      </c>
      <c r="K224" s="51"/>
      <c r="L224" s="51"/>
      <c r="M224" s="80"/>
      <c r="N224" s="80"/>
      <c r="O224" s="80"/>
      <c r="P224" s="51"/>
      <c r="Q224" s="58" t="e">
        <f>+P224+O224+N224+M224+L224+K224+J224+I224+H224+G224+#REF!+#REF!</f>
        <v>#REF!</v>
      </c>
    </row>
    <row r="225" spans="2:17" x14ac:dyDescent="0.2">
      <c r="B225" s="48" t="s">
        <v>579</v>
      </c>
      <c r="C225" s="49"/>
      <c r="D225" s="49" t="s">
        <v>585</v>
      </c>
      <c r="E225" s="51">
        <v>15000</v>
      </c>
      <c r="F225" s="51">
        <v>15000</v>
      </c>
      <c r="G225" s="51">
        <v>15000</v>
      </c>
      <c r="H225" s="51">
        <v>15000</v>
      </c>
      <c r="I225" s="51">
        <v>15000</v>
      </c>
      <c r="J225" s="51"/>
      <c r="K225" s="51"/>
      <c r="L225" s="51"/>
      <c r="M225" s="51"/>
      <c r="N225" s="51"/>
      <c r="O225" s="51"/>
      <c r="P225" s="51"/>
      <c r="Q225" s="58">
        <f>+P225+O225+N225+M225+L225+K225+J225+I225+H225+G225+F225+E225</f>
        <v>75000</v>
      </c>
    </row>
    <row r="226" spans="2:17" x14ac:dyDescent="0.2">
      <c r="B226" s="48" t="s">
        <v>579</v>
      </c>
      <c r="C226" s="49"/>
      <c r="D226" s="49" t="s">
        <v>586</v>
      </c>
      <c r="E226" s="51">
        <v>0</v>
      </c>
      <c r="F226" s="51">
        <v>436765.54</v>
      </c>
      <c r="G226" s="51">
        <v>0</v>
      </c>
      <c r="H226" s="51">
        <v>0</v>
      </c>
      <c r="I226" s="51">
        <v>0</v>
      </c>
      <c r="J226" s="51"/>
      <c r="K226" s="51"/>
      <c r="L226" s="51"/>
      <c r="M226" s="80"/>
      <c r="N226" s="80"/>
      <c r="O226" s="80"/>
      <c r="P226" s="51"/>
      <c r="Q226" s="58">
        <f>+P226+O226+N226+M226+L226+K226+J226+I226+H226+G226+F226+E226</f>
        <v>436765.54</v>
      </c>
    </row>
    <row r="227" spans="2:17" x14ac:dyDescent="0.2">
      <c r="B227" s="48" t="s">
        <v>579</v>
      </c>
      <c r="C227" s="49" t="s">
        <v>587</v>
      </c>
      <c r="D227" s="49" t="s">
        <v>588</v>
      </c>
      <c r="E227" s="51">
        <v>0</v>
      </c>
      <c r="F227" s="51">
        <v>876000</v>
      </c>
      <c r="G227" s="51">
        <v>0</v>
      </c>
      <c r="H227" s="51">
        <v>0</v>
      </c>
      <c r="I227" s="51">
        <v>141137.19</v>
      </c>
      <c r="J227" s="51"/>
      <c r="K227" s="51"/>
      <c r="L227" s="51"/>
      <c r="M227" s="51"/>
      <c r="N227" s="51"/>
      <c r="O227" s="51"/>
      <c r="P227" s="51"/>
      <c r="Q227" s="58">
        <f>+P227+O227+N227+M227+L227+K227+J227+I227+H227+G227+F224+E224</f>
        <v>451137.19</v>
      </c>
    </row>
    <row r="228" spans="2:17" x14ac:dyDescent="0.2">
      <c r="B228" s="48" t="s">
        <v>579</v>
      </c>
      <c r="C228" s="49" t="s">
        <v>589</v>
      </c>
      <c r="D228" s="49" t="s">
        <v>590</v>
      </c>
      <c r="E228" s="51">
        <v>0</v>
      </c>
      <c r="F228" s="51">
        <v>545980.05000000005</v>
      </c>
      <c r="G228" s="51">
        <v>0</v>
      </c>
      <c r="H228" s="51">
        <v>0</v>
      </c>
      <c r="I228" s="51">
        <v>0</v>
      </c>
      <c r="J228" s="51"/>
      <c r="K228" s="51"/>
      <c r="L228" s="51"/>
      <c r="M228" s="80"/>
      <c r="N228" s="80"/>
      <c r="O228" s="80"/>
      <c r="P228" s="51"/>
      <c r="Q228" s="58" t="e">
        <f>+P228+O228+N228+M228+L228+K228+J228+I228+H228+G228+#REF!+#REF!</f>
        <v>#REF!</v>
      </c>
    </row>
    <row r="229" spans="2:17" x14ac:dyDescent="0.2">
      <c r="B229" s="48" t="s">
        <v>579</v>
      </c>
      <c r="C229" s="49"/>
      <c r="D229" s="49" t="s">
        <v>591</v>
      </c>
      <c r="E229" s="51">
        <v>0</v>
      </c>
      <c r="F229" s="51">
        <v>40795.040000000001</v>
      </c>
      <c r="G229" s="51">
        <v>0</v>
      </c>
      <c r="H229" s="51">
        <v>0</v>
      </c>
      <c r="I229" s="51">
        <v>46480.51</v>
      </c>
      <c r="J229" s="51"/>
      <c r="K229" s="51"/>
      <c r="L229" s="51"/>
      <c r="M229" s="51"/>
      <c r="N229" s="51"/>
      <c r="O229" s="51"/>
      <c r="P229" s="51"/>
      <c r="Q229" s="58">
        <f t="shared" si="20"/>
        <v>87275.55</v>
      </c>
    </row>
    <row r="230" spans="2:17" x14ac:dyDescent="0.2">
      <c r="B230" s="48" t="s">
        <v>579</v>
      </c>
      <c r="C230" s="49"/>
      <c r="D230" s="49" t="s">
        <v>592</v>
      </c>
      <c r="E230" s="51">
        <v>0</v>
      </c>
      <c r="F230" s="51">
        <v>0</v>
      </c>
      <c r="G230" s="51">
        <f>165280.99*3</f>
        <v>495842.97</v>
      </c>
      <c r="H230" s="51">
        <v>0</v>
      </c>
      <c r="I230" s="51">
        <v>147106.60999999999</v>
      </c>
      <c r="J230" s="51"/>
      <c r="K230" s="51"/>
      <c r="L230" s="51"/>
      <c r="M230" s="80"/>
      <c r="N230" s="80"/>
      <c r="O230" s="80"/>
      <c r="P230" s="51"/>
      <c r="Q230" s="58">
        <f t="shared" si="20"/>
        <v>642949.57999999996</v>
      </c>
    </row>
    <row r="231" spans="2:17" x14ac:dyDescent="0.2">
      <c r="B231" s="48" t="s">
        <v>579</v>
      </c>
      <c r="C231" s="49"/>
      <c r="D231" s="49" t="s">
        <v>593</v>
      </c>
      <c r="E231" s="51">
        <v>0</v>
      </c>
      <c r="F231" s="51">
        <v>0</v>
      </c>
      <c r="G231" s="51">
        <v>0</v>
      </c>
      <c r="H231" s="51">
        <v>0</v>
      </c>
      <c r="I231" s="51">
        <f>1062000+152000+1355000</f>
        <v>2569000</v>
      </c>
      <c r="J231" s="51">
        <v>465000</v>
      </c>
      <c r="K231" s="51"/>
      <c r="L231" s="51"/>
      <c r="M231" s="51"/>
      <c r="N231" s="80"/>
      <c r="O231" s="80"/>
      <c r="P231" s="51"/>
      <c r="Q231" s="58">
        <f t="shared" si="20"/>
        <v>3034000</v>
      </c>
    </row>
    <row r="232" spans="2:17" x14ac:dyDescent="0.2">
      <c r="B232" s="48" t="s">
        <v>579</v>
      </c>
      <c r="C232" s="49" t="s">
        <v>594</v>
      </c>
      <c r="D232" s="49" t="s">
        <v>595</v>
      </c>
      <c r="E232" s="51">
        <v>0</v>
      </c>
      <c r="F232" s="51">
        <v>0</v>
      </c>
      <c r="G232" s="51">
        <v>0</v>
      </c>
      <c r="H232" s="51">
        <v>139000</v>
      </c>
      <c r="I232" s="51">
        <v>0</v>
      </c>
      <c r="J232" s="51"/>
      <c r="K232" s="51"/>
      <c r="L232" s="51"/>
      <c r="M232" s="80"/>
      <c r="N232" s="80"/>
      <c r="O232" s="51"/>
      <c r="P232" s="51"/>
      <c r="Q232" s="58">
        <f t="shared" si="20"/>
        <v>139000</v>
      </c>
    </row>
    <row r="233" spans="2:17" x14ac:dyDescent="0.2">
      <c r="B233" s="48" t="s">
        <v>579</v>
      </c>
      <c r="C233" s="49" t="s">
        <v>596</v>
      </c>
      <c r="D233" s="49" t="s">
        <v>597</v>
      </c>
      <c r="E233" s="51">
        <v>0</v>
      </c>
      <c r="F233" s="51">
        <v>0</v>
      </c>
      <c r="G233" s="51">
        <v>0</v>
      </c>
      <c r="H233" s="51">
        <v>34131.279999999999</v>
      </c>
      <c r="I233" s="51">
        <f>18797.03+1879.7+10338.38</f>
        <v>31015.11</v>
      </c>
      <c r="J233" s="51"/>
      <c r="K233" s="51"/>
      <c r="L233" s="51"/>
      <c r="M233" s="80"/>
      <c r="N233" s="80"/>
      <c r="O233" s="80"/>
      <c r="P233" s="51"/>
      <c r="Q233" s="58">
        <f t="shared" si="20"/>
        <v>65146.39</v>
      </c>
    </row>
    <row r="234" spans="2:17" x14ac:dyDescent="0.2">
      <c r="B234" s="48" t="s">
        <v>579</v>
      </c>
      <c r="C234" s="49" t="s">
        <v>598</v>
      </c>
      <c r="D234" s="49" t="s">
        <v>599</v>
      </c>
      <c r="E234" s="51">
        <v>0</v>
      </c>
      <c r="F234" s="51">
        <v>0</v>
      </c>
      <c r="G234" s="51">
        <v>0</v>
      </c>
      <c r="H234" s="51">
        <v>367075</v>
      </c>
      <c r="I234" s="51">
        <v>0</v>
      </c>
      <c r="J234" s="51"/>
      <c r="K234" s="51"/>
      <c r="L234" s="51"/>
      <c r="M234" s="80"/>
      <c r="N234" s="80"/>
      <c r="O234" s="80"/>
      <c r="P234" s="51"/>
      <c r="Q234" s="58">
        <f>+P234+O234+N234+M234+L234+K234+J234+I234+H234+G234+F227+E227</f>
        <v>1243075</v>
      </c>
    </row>
    <row r="235" spans="2:17" x14ac:dyDescent="0.2">
      <c r="B235" s="48" t="s">
        <v>579</v>
      </c>
      <c r="C235" s="49" t="s">
        <v>600</v>
      </c>
      <c r="D235" s="49" t="s">
        <v>601</v>
      </c>
      <c r="E235" s="51">
        <v>0</v>
      </c>
      <c r="F235" s="51">
        <v>0</v>
      </c>
      <c r="G235" s="51">
        <v>0</v>
      </c>
      <c r="H235" s="51">
        <v>21297.61</v>
      </c>
      <c r="I235" s="51">
        <v>0</v>
      </c>
      <c r="J235" s="51"/>
      <c r="K235" s="51"/>
      <c r="L235" s="51"/>
      <c r="M235" s="80"/>
      <c r="N235" s="80"/>
      <c r="O235" s="51"/>
      <c r="P235" s="51"/>
      <c r="Q235" s="58">
        <f t="shared" si="20"/>
        <v>21297.61</v>
      </c>
    </row>
    <row r="236" spans="2:17" x14ac:dyDescent="0.2">
      <c r="B236" s="48" t="s">
        <v>579</v>
      </c>
      <c r="C236" s="49" t="s">
        <v>602</v>
      </c>
      <c r="D236" s="49" t="s">
        <v>601</v>
      </c>
      <c r="E236" s="51">
        <v>0</v>
      </c>
      <c r="F236" s="51">
        <v>0</v>
      </c>
      <c r="G236" s="51">
        <v>0</v>
      </c>
      <c r="H236" s="51">
        <v>60232.05</v>
      </c>
      <c r="I236" s="51">
        <f>32280.45+29439.86+227712.09</f>
        <v>289432.40000000002</v>
      </c>
      <c r="J236" s="51"/>
      <c r="K236" s="51"/>
      <c r="L236" s="51"/>
      <c r="M236" s="80"/>
      <c r="N236" s="80"/>
      <c r="O236" s="80"/>
      <c r="P236" s="51"/>
      <c r="Q236" s="58">
        <f t="shared" si="20"/>
        <v>349664.45</v>
      </c>
    </row>
    <row r="237" spans="2:17" x14ac:dyDescent="0.2">
      <c r="B237" s="48" t="s">
        <v>579</v>
      </c>
      <c r="C237" s="49" t="s">
        <v>603</v>
      </c>
      <c r="D237" s="49" t="s">
        <v>601</v>
      </c>
      <c r="E237" s="51">
        <v>0</v>
      </c>
      <c r="F237" s="51">
        <v>0</v>
      </c>
      <c r="G237" s="51">
        <v>0</v>
      </c>
      <c r="H237" s="51">
        <f>21591.36+38038.77+96734</f>
        <v>156364.13</v>
      </c>
      <c r="I237" s="51">
        <f>316416.14+432610.4+134546.98+82975.04</f>
        <v>966548.56</v>
      </c>
      <c r="J237" s="51"/>
      <c r="K237" s="51"/>
      <c r="L237" s="51"/>
      <c r="M237" s="80"/>
      <c r="N237" s="80"/>
      <c r="O237" s="80"/>
      <c r="P237" s="51"/>
      <c r="Q237" s="58">
        <f t="shared" si="20"/>
        <v>1122912.69</v>
      </c>
    </row>
    <row r="238" spans="2:17" x14ac:dyDescent="0.2">
      <c r="B238" s="48" t="s">
        <v>579</v>
      </c>
      <c r="C238" s="49" t="s">
        <v>604</v>
      </c>
      <c r="D238" s="49" t="s">
        <v>601</v>
      </c>
      <c r="E238" s="51">
        <v>0</v>
      </c>
      <c r="F238" s="51">
        <v>0</v>
      </c>
      <c r="G238" s="51">
        <v>0</v>
      </c>
      <c r="H238" s="51">
        <f>6141.76+84937+53204.73</f>
        <v>144283.49</v>
      </c>
      <c r="I238" s="51">
        <f>51575.17+48318.12</f>
        <v>99893.290000000008</v>
      </c>
      <c r="J238" s="51"/>
      <c r="K238" s="51"/>
      <c r="L238" s="51"/>
      <c r="M238" s="80"/>
      <c r="N238" s="51"/>
      <c r="O238" s="80"/>
      <c r="P238" s="51"/>
      <c r="Q238" s="58">
        <f t="shared" si="20"/>
        <v>244176.78</v>
      </c>
    </row>
    <row r="239" spans="2:17" x14ac:dyDescent="0.2">
      <c r="B239" s="48" t="s">
        <v>579</v>
      </c>
      <c r="C239" s="49" t="s">
        <v>605</v>
      </c>
      <c r="D239" s="49" t="s">
        <v>601</v>
      </c>
      <c r="E239" s="51">
        <v>0</v>
      </c>
      <c r="F239" s="51">
        <v>0</v>
      </c>
      <c r="G239" s="51">
        <v>0</v>
      </c>
      <c r="H239" s="51">
        <v>28098.47</v>
      </c>
      <c r="I239" s="51">
        <v>0</v>
      </c>
      <c r="J239" s="51"/>
      <c r="K239" s="51"/>
      <c r="L239" s="51"/>
      <c r="M239" s="80"/>
      <c r="N239" s="51"/>
      <c r="O239" s="80"/>
      <c r="P239" s="51"/>
      <c r="Q239" s="58">
        <f>+P239+O239+N239+M239+L239+K239+J239+I239+H239+G239+F228+E228</f>
        <v>574078.52</v>
      </c>
    </row>
    <row r="240" spans="2:17" x14ac:dyDescent="0.2">
      <c r="B240" s="48" t="s">
        <v>579</v>
      </c>
      <c r="C240" s="49" t="s">
        <v>606</v>
      </c>
      <c r="D240" s="49" t="s">
        <v>601</v>
      </c>
      <c r="E240" s="51">
        <v>0</v>
      </c>
      <c r="F240" s="51">
        <v>0</v>
      </c>
      <c r="G240" s="51">
        <v>0</v>
      </c>
      <c r="H240" s="51">
        <f>18000+23636.36+66272.73</f>
        <v>107909.09</v>
      </c>
      <c r="I240" s="51">
        <v>0</v>
      </c>
      <c r="J240" s="51"/>
      <c r="K240" s="51"/>
      <c r="L240" s="51"/>
      <c r="M240" s="80"/>
      <c r="N240" s="80"/>
      <c r="O240" s="80"/>
      <c r="P240" s="51"/>
      <c r="Q240" s="58">
        <f t="shared" si="20"/>
        <v>107909.09</v>
      </c>
    </row>
    <row r="241" spans="2:17" x14ac:dyDescent="0.2">
      <c r="B241" s="48" t="s">
        <v>579</v>
      </c>
      <c r="C241" s="49" t="s">
        <v>607</v>
      </c>
      <c r="D241" s="49" t="s">
        <v>601</v>
      </c>
      <c r="E241" s="51">
        <v>0</v>
      </c>
      <c r="F241" s="51">
        <v>0</v>
      </c>
      <c r="G241" s="51">
        <v>0</v>
      </c>
      <c r="H241" s="51">
        <v>375084.07</v>
      </c>
      <c r="I241" s="51">
        <v>0</v>
      </c>
      <c r="J241" s="51"/>
      <c r="K241" s="51"/>
      <c r="L241" s="51"/>
      <c r="M241" s="80"/>
      <c r="N241" s="80"/>
      <c r="O241" s="80"/>
      <c r="P241" s="51"/>
      <c r="Q241" s="58">
        <f t="shared" si="20"/>
        <v>375084.07</v>
      </c>
    </row>
    <row r="242" spans="2:17" x14ac:dyDescent="0.2">
      <c r="B242" s="48" t="s">
        <v>579</v>
      </c>
      <c r="C242" s="49" t="s">
        <v>608</v>
      </c>
      <c r="D242" s="49" t="s">
        <v>601</v>
      </c>
      <c r="E242" s="51">
        <v>0</v>
      </c>
      <c r="F242" s="51">
        <v>0</v>
      </c>
      <c r="G242" s="51">
        <v>0</v>
      </c>
      <c r="H242" s="51">
        <f>52892.56+26446.28+38842.98+57851.24+23140.5</f>
        <v>199173.56</v>
      </c>
      <c r="I242" s="51">
        <v>71074.38</v>
      </c>
      <c r="J242" s="51"/>
      <c r="K242" s="51"/>
      <c r="L242" s="51"/>
      <c r="M242" s="80"/>
      <c r="N242" s="80"/>
      <c r="O242" s="51"/>
      <c r="P242" s="51"/>
      <c r="Q242" s="58">
        <f t="shared" si="20"/>
        <v>270247.94</v>
      </c>
    </row>
    <row r="243" spans="2:17" x14ac:dyDescent="0.2">
      <c r="B243" s="48" t="s">
        <v>579</v>
      </c>
      <c r="C243" s="49" t="s">
        <v>609</v>
      </c>
      <c r="D243" s="49" t="s">
        <v>601</v>
      </c>
      <c r="E243" s="51">
        <v>0</v>
      </c>
      <c r="F243" s="51">
        <v>0</v>
      </c>
      <c r="G243" s="51">
        <v>0</v>
      </c>
      <c r="H243" s="51">
        <f>111348.32+54484.83</f>
        <v>165833.15000000002</v>
      </c>
      <c r="I243" s="51">
        <v>0</v>
      </c>
      <c r="J243" s="51"/>
      <c r="K243" s="51"/>
      <c r="L243" s="51"/>
      <c r="M243" s="80"/>
      <c r="N243" s="80"/>
      <c r="O243" s="51"/>
      <c r="P243" s="51"/>
      <c r="Q243" s="58"/>
    </row>
    <row r="244" spans="2:17" x14ac:dyDescent="0.2">
      <c r="B244" s="48" t="s">
        <v>579</v>
      </c>
      <c r="C244" s="49" t="s">
        <v>610</v>
      </c>
      <c r="D244" s="49" t="s">
        <v>611</v>
      </c>
      <c r="E244" s="51">
        <v>0</v>
      </c>
      <c r="F244" s="51">
        <v>0</v>
      </c>
      <c r="G244" s="51">
        <v>0</v>
      </c>
      <c r="H244" s="51">
        <v>54462.81</v>
      </c>
      <c r="I244" s="51">
        <v>0</v>
      </c>
      <c r="J244" s="51"/>
      <c r="K244" s="51"/>
      <c r="L244" s="51"/>
      <c r="M244" s="80"/>
      <c r="N244" s="80"/>
      <c r="O244" s="51"/>
      <c r="P244" s="51"/>
      <c r="Q244" s="58"/>
    </row>
    <row r="245" spans="2:17" x14ac:dyDescent="0.2">
      <c r="B245" s="48" t="s">
        <v>579</v>
      </c>
      <c r="C245" s="49" t="s">
        <v>612</v>
      </c>
      <c r="D245" s="49" t="s">
        <v>613</v>
      </c>
      <c r="E245" s="51">
        <v>0</v>
      </c>
      <c r="F245" s="51">
        <v>0</v>
      </c>
      <c r="G245" s="51">
        <v>0</v>
      </c>
      <c r="H245" s="51">
        <v>440000</v>
      </c>
      <c r="I245" s="51">
        <v>0</v>
      </c>
      <c r="J245" s="51"/>
      <c r="K245" s="51"/>
      <c r="L245" s="51"/>
      <c r="M245" s="80"/>
      <c r="N245" s="80"/>
      <c r="O245" s="51"/>
      <c r="P245" s="51"/>
      <c r="Q245" s="58"/>
    </row>
    <row r="246" spans="2:17" x14ac:dyDescent="0.2">
      <c r="B246" s="48" t="s">
        <v>579</v>
      </c>
      <c r="C246" s="49" t="s">
        <v>744</v>
      </c>
      <c r="D246" s="49" t="s">
        <v>745</v>
      </c>
      <c r="E246" s="51">
        <v>0</v>
      </c>
      <c r="F246" s="51">
        <v>0</v>
      </c>
      <c r="G246" s="51">
        <v>0</v>
      </c>
      <c r="H246" s="51">
        <v>0</v>
      </c>
      <c r="I246" s="51">
        <v>141137.19</v>
      </c>
      <c r="J246" s="51"/>
      <c r="K246" s="51"/>
      <c r="L246" s="51"/>
      <c r="M246" s="80"/>
      <c r="N246" s="80"/>
      <c r="O246" s="51"/>
      <c r="P246" s="51"/>
      <c r="Q246" s="58"/>
    </row>
    <row r="247" spans="2:17" x14ac:dyDescent="0.2">
      <c r="B247" s="48" t="s">
        <v>579</v>
      </c>
      <c r="C247" s="49" t="s">
        <v>746</v>
      </c>
      <c r="D247" s="49" t="s">
        <v>747</v>
      </c>
      <c r="E247" s="51">
        <v>0</v>
      </c>
      <c r="F247" s="51">
        <v>0</v>
      </c>
      <c r="G247" s="51">
        <v>0</v>
      </c>
      <c r="H247" s="51">
        <v>0</v>
      </c>
      <c r="I247" s="51">
        <v>147106.60999999999</v>
      </c>
      <c r="J247" s="51"/>
      <c r="K247" s="51"/>
      <c r="L247" s="51"/>
      <c r="M247" s="80"/>
      <c r="N247" s="80"/>
      <c r="O247" s="51"/>
      <c r="P247" s="51"/>
      <c r="Q247" s="58"/>
    </row>
    <row r="248" spans="2:17" x14ac:dyDescent="0.2">
      <c r="B248" s="48" t="s">
        <v>579</v>
      </c>
      <c r="C248" s="49" t="s">
        <v>748</v>
      </c>
      <c r="D248" s="49" t="s">
        <v>749</v>
      </c>
      <c r="E248" s="51">
        <v>0</v>
      </c>
      <c r="F248" s="51">
        <v>0</v>
      </c>
      <c r="G248" s="51">
        <v>0</v>
      </c>
      <c r="H248" s="51">
        <v>0</v>
      </c>
      <c r="I248" s="51">
        <v>495867.77</v>
      </c>
      <c r="J248" s="51"/>
      <c r="K248" s="51"/>
      <c r="L248" s="51"/>
      <c r="M248" s="80"/>
      <c r="N248" s="80"/>
      <c r="O248" s="51"/>
      <c r="P248" s="51"/>
      <c r="Q248" s="58"/>
    </row>
    <row r="249" spans="2:17" x14ac:dyDescent="0.2">
      <c r="B249" s="48" t="s">
        <v>579</v>
      </c>
      <c r="C249" s="49" t="s">
        <v>750</v>
      </c>
      <c r="D249" s="49" t="s">
        <v>751</v>
      </c>
      <c r="E249" s="51">
        <v>0</v>
      </c>
      <c r="F249" s="51">
        <v>0</v>
      </c>
      <c r="G249" s="51">
        <v>0</v>
      </c>
      <c r="H249" s="51">
        <v>0</v>
      </c>
      <c r="I249" s="51">
        <v>450000</v>
      </c>
      <c r="J249" s="51">
        <v>2026015.5</v>
      </c>
      <c r="K249" s="51"/>
      <c r="L249" s="51"/>
      <c r="M249" s="80"/>
      <c r="N249" s="80"/>
      <c r="O249" s="51"/>
      <c r="P249" s="51"/>
      <c r="Q249" s="58"/>
    </row>
    <row r="250" spans="2:17" x14ac:dyDescent="0.2">
      <c r="B250" s="48"/>
      <c r="C250" s="49"/>
      <c r="D250" s="49" t="s">
        <v>752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89255.37</v>
      </c>
      <c r="K250" s="51"/>
      <c r="L250" s="51"/>
      <c r="M250" s="80"/>
      <c r="N250" s="80"/>
      <c r="O250" s="51"/>
      <c r="P250" s="51"/>
      <c r="Q250" s="58"/>
    </row>
    <row r="251" spans="2:17" x14ac:dyDescent="0.2">
      <c r="B251" s="48"/>
      <c r="C251" s="49"/>
      <c r="D251" s="49" t="s">
        <v>753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380089.59</v>
      </c>
      <c r="K251" s="51"/>
      <c r="L251" s="51"/>
      <c r="M251" s="80"/>
      <c r="N251" s="80"/>
      <c r="O251" s="51"/>
      <c r="P251" s="51"/>
      <c r="Q251" s="58"/>
    </row>
    <row r="252" spans="2:17" ht="12.75" thickBot="1" x14ac:dyDescent="0.25">
      <c r="B252" s="48" t="s">
        <v>579</v>
      </c>
      <c r="C252" s="49"/>
      <c r="D252" s="49" t="s">
        <v>614</v>
      </c>
      <c r="E252" s="51">
        <v>0</v>
      </c>
      <c r="F252" s="51">
        <v>0</v>
      </c>
      <c r="G252" s="51">
        <v>0</v>
      </c>
      <c r="H252" s="51">
        <v>0</v>
      </c>
      <c r="I252" s="51">
        <f>230000+230000</f>
        <v>460000</v>
      </c>
      <c r="J252" s="51"/>
      <c r="K252" s="51"/>
      <c r="L252" s="51"/>
      <c r="M252" s="80"/>
      <c r="N252" s="80"/>
      <c r="O252" s="80"/>
      <c r="P252" s="51"/>
      <c r="Q252" s="58">
        <f>+P252+O252+N252+M252+L252+K252+J252+I252+H252+G252+F252+E252</f>
        <v>460000</v>
      </c>
    </row>
    <row r="253" spans="2:17" ht="13.5" thickTop="1" thickBot="1" x14ac:dyDescent="0.25">
      <c r="B253" s="163" t="s">
        <v>615</v>
      </c>
      <c r="C253" s="164"/>
      <c r="D253" s="165"/>
      <c r="E253" s="55">
        <f t="shared" ref="E253:P253" si="21">SUM(E220:E252)</f>
        <v>1879890.3900000001</v>
      </c>
      <c r="F253" s="55">
        <f t="shared" si="21"/>
        <v>3365294.84</v>
      </c>
      <c r="G253" s="55">
        <f t="shared" si="21"/>
        <v>3426998.38</v>
      </c>
      <c r="H253" s="55">
        <f t="shared" si="21"/>
        <v>5626171.9099999992</v>
      </c>
      <c r="I253" s="55">
        <f t="shared" si="21"/>
        <v>9961296.7699999977</v>
      </c>
      <c r="J253" s="55">
        <f t="shared" si="21"/>
        <v>3090360.46</v>
      </c>
      <c r="K253" s="55">
        <f t="shared" si="21"/>
        <v>0</v>
      </c>
      <c r="L253" s="55">
        <f t="shared" si="21"/>
        <v>0</v>
      </c>
      <c r="M253" s="55">
        <f t="shared" si="21"/>
        <v>0</v>
      </c>
      <c r="N253" s="55">
        <f t="shared" si="21"/>
        <v>0</v>
      </c>
      <c r="O253" s="55">
        <f t="shared" si="21"/>
        <v>0</v>
      </c>
      <c r="P253" s="55">
        <f t="shared" si="21"/>
        <v>0</v>
      </c>
      <c r="Q253" s="55" t="e">
        <f>SUM(Q220:R252)</f>
        <v>#REF!</v>
      </c>
    </row>
    <row r="254" spans="2:17" ht="12.75" thickTop="1" x14ac:dyDescent="0.2"/>
    <row r="256" spans="2:17" s="44" customFormat="1" x14ac:dyDescent="0.25">
      <c r="B256" s="46" t="s">
        <v>361</v>
      </c>
      <c r="C256" s="46" t="s">
        <v>362</v>
      </c>
      <c r="D256" s="46" t="s">
        <v>363</v>
      </c>
      <c r="E256" s="47">
        <v>46023</v>
      </c>
      <c r="F256" s="47">
        <v>46054</v>
      </c>
      <c r="G256" s="47">
        <v>46082</v>
      </c>
      <c r="H256" s="47">
        <v>46113</v>
      </c>
      <c r="I256" s="47">
        <v>46143</v>
      </c>
      <c r="J256" s="47">
        <v>46174</v>
      </c>
      <c r="K256" s="47">
        <v>46204</v>
      </c>
      <c r="L256" s="47">
        <v>46235</v>
      </c>
      <c r="M256" s="47">
        <v>46266</v>
      </c>
      <c r="N256" s="47">
        <v>46296</v>
      </c>
      <c r="O256" s="47">
        <v>46327</v>
      </c>
      <c r="P256" s="47">
        <v>46357</v>
      </c>
    </row>
    <row r="257" spans="2:17" s="44" customFormat="1" x14ac:dyDescent="0.2">
      <c r="B257" s="85" t="s">
        <v>616</v>
      </c>
      <c r="C257" s="86" t="s">
        <v>617</v>
      </c>
      <c r="D257" s="86"/>
      <c r="E257" s="87">
        <v>5343405.0299999975</v>
      </c>
      <c r="F257" s="87">
        <v>6443111.1900000004</v>
      </c>
      <c r="G257" s="87">
        <v>5409011.8699999992</v>
      </c>
      <c r="H257" s="87">
        <v>6039439.330000001</v>
      </c>
      <c r="I257" s="51">
        <v>6111101.75</v>
      </c>
      <c r="J257" s="87"/>
      <c r="K257" s="87"/>
      <c r="L257" s="88"/>
      <c r="M257" s="88"/>
      <c r="N257" s="89"/>
      <c r="O257" s="51"/>
      <c r="P257" s="51"/>
      <c r="Q257" s="58">
        <f>+P257+O257+N257+M257+L257+K257+J257+I257+H257+G257+F257+E257</f>
        <v>29346069.170000002</v>
      </c>
    </row>
    <row r="258" spans="2:17" s="44" customFormat="1" x14ac:dyDescent="0.2">
      <c r="B258" s="85" t="s">
        <v>616</v>
      </c>
      <c r="C258" s="86" t="s">
        <v>618</v>
      </c>
      <c r="D258" s="46"/>
      <c r="E258" s="87">
        <v>1585183.8</v>
      </c>
      <c r="F258" s="87">
        <v>1469528.8</v>
      </c>
      <c r="G258" s="87">
        <v>1469528.8</v>
      </c>
      <c r="H258" s="87">
        <v>1623101.8</v>
      </c>
      <c r="I258" s="51">
        <v>1623101.8</v>
      </c>
      <c r="J258" s="87"/>
      <c r="K258" s="87"/>
      <c r="L258" s="88"/>
      <c r="M258" s="88"/>
      <c r="N258" s="89"/>
      <c r="O258" s="51"/>
      <c r="P258" s="51"/>
      <c r="Q258" s="58">
        <f>+P258+O258+N258+M258+L258+K258+J258+I258+H258+G258+F258+E258</f>
        <v>7770445</v>
      </c>
    </row>
    <row r="259" spans="2:17" s="44" customFormat="1" ht="12.75" thickBot="1" x14ac:dyDescent="0.25">
      <c r="B259" s="46"/>
      <c r="C259" s="86" t="s">
        <v>754</v>
      </c>
      <c r="D259" s="46"/>
      <c r="E259" s="51">
        <v>727759.39000000013</v>
      </c>
      <c r="F259" s="87">
        <v>2145647.3899999992</v>
      </c>
      <c r="G259" s="51">
        <v>7301152.4100000001</v>
      </c>
      <c r="H259" s="51">
        <v>373881.81000000006</v>
      </c>
      <c r="I259" s="51">
        <v>2273209.6999999997</v>
      </c>
      <c r="J259" s="87"/>
      <c r="K259" s="87"/>
      <c r="L259" s="88"/>
      <c r="M259" s="88"/>
      <c r="N259" s="89"/>
      <c r="O259" s="51"/>
      <c r="P259" s="51"/>
      <c r="Q259" s="58">
        <f>+P259+O259+N259+M259+L259+K259+J259+I259+H259+G259+F259+E259</f>
        <v>12821650.699999999</v>
      </c>
    </row>
    <row r="260" spans="2:17" ht="13.5" thickTop="1" thickBot="1" x14ac:dyDescent="0.25">
      <c r="B260" s="163" t="s">
        <v>619</v>
      </c>
      <c r="C260" s="164"/>
      <c r="D260" s="165"/>
      <c r="E260" s="55">
        <f t="shared" ref="E260:Q260" si="22">SUM(E257:E259)</f>
        <v>7656348.2199999969</v>
      </c>
      <c r="F260" s="55">
        <f t="shared" si="22"/>
        <v>10058287.379999999</v>
      </c>
      <c r="G260" s="55">
        <f t="shared" si="22"/>
        <v>14179693.079999998</v>
      </c>
      <c r="H260" s="55">
        <f t="shared" si="22"/>
        <v>8036422.9400000013</v>
      </c>
      <c r="I260" s="55">
        <f t="shared" si="22"/>
        <v>10007413.25</v>
      </c>
      <c r="J260" s="55">
        <f t="shared" si="22"/>
        <v>0</v>
      </c>
      <c r="K260" s="55">
        <f t="shared" si="22"/>
        <v>0</v>
      </c>
      <c r="L260" s="55">
        <f t="shared" si="22"/>
        <v>0</v>
      </c>
      <c r="M260" s="55">
        <f t="shared" si="22"/>
        <v>0</v>
      </c>
      <c r="N260" s="55">
        <f t="shared" si="22"/>
        <v>0</v>
      </c>
      <c r="O260" s="55">
        <f t="shared" si="22"/>
        <v>0</v>
      </c>
      <c r="P260" s="55">
        <f t="shared" si="22"/>
        <v>0</v>
      </c>
      <c r="Q260" s="55">
        <f t="shared" si="22"/>
        <v>49938164.870000005</v>
      </c>
    </row>
    <row r="261" spans="2:17" ht="12.75" thickTop="1" x14ac:dyDescent="0.2"/>
    <row r="263" spans="2:17" s="44" customFormat="1" x14ac:dyDescent="0.25">
      <c r="B263" s="46" t="s">
        <v>361</v>
      </c>
      <c r="C263" s="46" t="s">
        <v>362</v>
      </c>
      <c r="D263" s="46" t="s">
        <v>363</v>
      </c>
      <c r="E263" s="47">
        <v>46023</v>
      </c>
      <c r="F263" s="47">
        <v>46054</v>
      </c>
      <c r="G263" s="47">
        <v>46082</v>
      </c>
      <c r="H263" s="47">
        <v>46113</v>
      </c>
      <c r="I263" s="47">
        <v>46143</v>
      </c>
      <c r="J263" s="47">
        <v>46174</v>
      </c>
      <c r="K263" s="47">
        <v>46204</v>
      </c>
      <c r="L263" s="47">
        <v>46235</v>
      </c>
      <c r="M263" s="47">
        <v>46266</v>
      </c>
      <c r="N263" s="47">
        <v>46296</v>
      </c>
      <c r="O263" s="47">
        <v>46327</v>
      </c>
      <c r="P263" s="47">
        <v>46357</v>
      </c>
    </row>
    <row r="264" spans="2:17" s="77" customFormat="1" x14ac:dyDescent="0.2">
      <c r="B264" s="76" t="s">
        <v>620</v>
      </c>
      <c r="C264" s="62"/>
      <c r="D264" s="62" t="s">
        <v>621</v>
      </c>
      <c r="E264" s="51">
        <v>1720965.1700000002</v>
      </c>
      <c r="F264" s="51">
        <v>960148.28</v>
      </c>
      <c r="G264" s="51">
        <v>1639155.3</v>
      </c>
      <c r="H264" s="51">
        <v>1677769.8399999999</v>
      </c>
      <c r="I264" s="51">
        <f>69218.28+119517.77+89347.02+28458.08+68931.28+84055.33+110757.8+7797.83+70569.31+101037.58+85668.54</f>
        <v>835358.82</v>
      </c>
      <c r="J264" s="51"/>
      <c r="K264" s="51"/>
      <c r="L264" s="51"/>
      <c r="M264" s="51"/>
      <c r="N264" s="51"/>
      <c r="O264" s="51"/>
      <c r="P264" s="51"/>
      <c r="Q264" s="58">
        <f t="shared" ref="Q264:Q270" si="23">+P264+O264+N264+M264+L264+K264+J264+I264+H264+G264+F264+E264</f>
        <v>6833397.4100000001</v>
      </c>
    </row>
    <row r="265" spans="2:17" s="77" customFormat="1" x14ac:dyDescent="0.2">
      <c r="B265" s="76" t="s">
        <v>620</v>
      </c>
      <c r="C265" s="62" t="s">
        <v>622</v>
      </c>
      <c r="D265" s="62" t="s">
        <v>623</v>
      </c>
      <c r="E265" s="51">
        <f>9805.99+9805.99+9805.99+24411.91</f>
        <v>53829.880000000005</v>
      </c>
      <c r="F265" s="51">
        <f>10194+10194+25719.19+10194</f>
        <v>56301.19</v>
      </c>
      <c r="G265" s="51">
        <f>10621.14+10621.14+26694.85+10621.14</f>
        <v>58558.27</v>
      </c>
      <c r="H265" s="51">
        <v>62388.41</v>
      </c>
      <c r="I265" s="51">
        <v>65503.040000000001</v>
      </c>
      <c r="J265" s="51"/>
      <c r="K265" s="51"/>
      <c r="L265" s="51"/>
      <c r="M265" s="51"/>
      <c r="N265" s="51"/>
      <c r="O265" s="51"/>
      <c r="P265" s="51"/>
      <c r="Q265" s="58">
        <f t="shared" si="23"/>
        <v>296580.79000000004</v>
      </c>
    </row>
    <row r="266" spans="2:17" s="77" customFormat="1" x14ac:dyDescent="0.2">
      <c r="B266" s="76" t="s">
        <v>620</v>
      </c>
      <c r="C266" s="62"/>
      <c r="D266" s="62" t="s">
        <v>624</v>
      </c>
      <c r="E266" s="51">
        <v>0</v>
      </c>
      <c r="F266" s="51">
        <f>55687+6922</f>
        <v>62609</v>
      </c>
      <c r="G266" s="51">
        <v>0</v>
      </c>
      <c r="H266" s="51">
        <v>194291.44</v>
      </c>
      <c r="I266" s="51">
        <v>0</v>
      </c>
      <c r="J266" s="51">
        <f>849586.78+150000</f>
        <v>999586.78</v>
      </c>
      <c r="K266" s="51"/>
      <c r="L266" s="51"/>
      <c r="M266" s="51"/>
      <c r="N266" s="51"/>
      <c r="O266" s="51"/>
      <c r="P266" s="51"/>
      <c r="Q266" s="58">
        <f t="shared" si="23"/>
        <v>1256487.22</v>
      </c>
    </row>
    <row r="267" spans="2:17" s="77" customFormat="1" x14ac:dyDescent="0.2">
      <c r="B267" s="76" t="s">
        <v>620</v>
      </c>
      <c r="C267" s="62" t="s">
        <v>625</v>
      </c>
      <c r="D267" s="62" t="s">
        <v>626</v>
      </c>
      <c r="E267" s="51">
        <v>106267.32</v>
      </c>
      <c r="F267" s="51">
        <v>110961.60000000001</v>
      </c>
      <c r="G267" s="51">
        <v>119799</v>
      </c>
      <c r="H267" s="51">
        <v>201765.81999999998</v>
      </c>
      <c r="I267" s="51">
        <f>36+3000+45283.34+21573.15+25202.16+6000+14315.81</f>
        <v>115410.45999999999</v>
      </c>
      <c r="J267" s="51"/>
      <c r="K267" s="51"/>
      <c r="L267" s="51"/>
      <c r="M267" s="51"/>
      <c r="N267" s="51"/>
      <c r="O267" s="51"/>
      <c r="P267" s="51"/>
      <c r="Q267" s="58">
        <f t="shared" si="23"/>
        <v>654204.19999999995</v>
      </c>
    </row>
    <row r="268" spans="2:17" s="77" customFormat="1" x14ac:dyDescent="0.2">
      <c r="B268" s="76" t="s">
        <v>620</v>
      </c>
      <c r="C268" s="62" t="s">
        <v>627</v>
      </c>
      <c r="D268" s="62" t="s">
        <v>628</v>
      </c>
      <c r="E268" s="51">
        <v>128234.47</v>
      </c>
      <c r="F268" s="51">
        <v>56639.07</v>
      </c>
      <c r="G268" s="51">
        <v>143310.84</v>
      </c>
      <c r="H268" s="51">
        <v>338068.93</v>
      </c>
      <c r="I268" s="51">
        <f>108+9000+2500+23959.11+20877.2+54+4500+6000+3000+29029.34+18640.41+8573.59+4493.58+994.15</f>
        <v>131729.38</v>
      </c>
      <c r="J268" s="51"/>
      <c r="K268" s="51"/>
      <c r="L268" s="51"/>
      <c r="M268" s="51"/>
      <c r="N268" s="51"/>
      <c r="O268" s="51"/>
      <c r="P268" s="51"/>
      <c r="Q268" s="58">
        <f t="shared" si="23"/>
        <v>797982.69</v>
      </c>
    </row>
    <row r="269" spans="2:17" ht="13.5" customHeight="1" x14ac:dyDescent="0.2">
      <c r="B269" s="48" t="s">
        <v>620</v>
      </c>
      <c r="C269" s="49"/>
      <c r="D269" s="49" t="s">
        <v>629</v>
      </c>
      <c r="E269" s="51">
        <v>0</v>
      </c>
      <c r="F269" s="51">
        <v>30405.439999999999</v>
      </c>
      <c r="G269" s="80">
        <v>0</v>
      </c>
      <c r="H269" s="51">
        <v>0</v>
      </c>
      <c r="I269" s="51">
        <v>0</v>
      </c>
      <c r="J269" s="51"/>
      <c r="K269" s="51"/>
      <c r="L269" s="51"/>
      <c r="M269" s="51"/>
      <c r="N269" s="51"/>
      <c r="O269" s="51"/>
      <c r="P269" s="51"/>
      <c r="Q269" s="58">
        <f t="shared" si="23"/>
        <v>30405.439999999999</v>
      </c>
    </row>
    <row r="270" spans="2:17" x14ac:dyDescent="0.2">
      <c r="B270" s="48" t="s">
        <v>620</v>
      </c>
      <c r="C270" s="49"/>
      <c r="D270" s="49" t="s">
        <v>630</v>
      </c>
      <c r="E270" s="51">
        <v>558322.54</v>
      </c>
      <c r="F270" s="51">
        <v>786024.47</v>
      </c>
      <c r="G270" s="80">
        <v>419258.53</v>
      </c>
      <c r="H270" s="51">
        <v>909179.57</v>
      </c>
      <c r="I270" s="51">
        <f>281724.68+10841.79</f>
        <v>292566.46999999997</v>
      </c>
      <c r="J270" s="51"/>
      <c r="K270" s="51"/>
      <c r="L270" s="51"/>
      <c r="M270" s="51"/>
      <c r="N270" s="51"/>
      <c r="O270" s="51"/>
      <c r="P270" s="51"/>
      <c r="Q270" s="58">
        <f t="shared" si="23"/>
        <v>2965351.58</v>
      </c>
    </row>
    <row r="271" spans="2:17" x14ac:dyDescent="0.2">
      <c r="B271" s="48" t="s">
        <v>620</v>
      </c>
      <c r="C271" s="49" t="s">
        <v>631</v>
      </c>
      <c r="D271" s="49" t="s">
        <v>632</v>
      </c>
      <c r="E271" s="51">
        <v>0</v>
      </c>
      <c r="F271" s="51">
        <v>0</v>
      </c>
      <c r="G271" s="51">
        <v>0</v>
      </c>
      <c r="H271" s="51">
        <v>205956.51</v>
      </c>
      <c r="I271" s="51">
        <v>0</v>
      </c>
      <c r="J271" s="51"/>
      <c r="K271" s="51"/>
      <c r="L271" s="51"/>
      <c r="M271" s="51"/>
      <c r="N271" s="51"/>
      <c r="O271" s="51"/>
      <c r="P271" s="51"/>
      <c r="Q271" s="58"/>
    </row>
    <row r="272" spans="2:17" x14ac:dyDescent="0.2">
      <c r="B272" s="48" t="s">
        <v>620</v>
      </c>
      <c r="C272" s="49" t="s">
        <v>633</v>
      </c>
      <c r="D272" s="49" t="s">
        <v>633</v>
      </c>
      <c r="E272" s="51"/>
      <c r="F272" s="51"/>
      <c r="G272" s="57"/>
      <c r="H272" s="51">
        <f>5289+7128+4484</f>
        <v>16901</v>
      </c>
      <c r="I272" s="51">
        <v>0</v>
      </c>
      <c r="J272" s="51"/>
      <c r="K272" s="51"/>
      <c r="L272" s="51"/>
      <c r="M272" s="51"/>
      <c r="N272" s="51"/>
      <c r="O272" s="51"/>
      <c r="P272" s="51"/>
      <c r="Q272" s="58"/>
    </row>
    <row r="273" spans="2:17" x14ac:dyDescent="0.2">
      <c r="B273" s="48" t="s">
        <v>620</v>
      </c>
      <c r="C273" s="49" t="s">
        <v>634</v>
      </c>
      <c r="D273" s="49" t="s">
        <v>635</v>
      </c>
      <c r="E273" s="51">
        <f>55000+49.63+301.98+96000+112722.15</f>
        <v>264073.76</v>
      </c>
      <c r="F273" s="51">
        <f>96900+58386.3+291.48+20000+60000</f>
        <v>235577.78</v>
      </c>
      <c r="G273" s="57">
        <f>124688.18+75009.1+96000+302.06+60000</f>
        <v>355999.34</v>
      </c>
      <c r="H273" s="51">
        <f>129643.42+100860+60000+32000+70000</f>
        <v>392503.42</v>
      </c>
      <c r="I273" s="51">
        <v>0</v>
      </c>
      <c r="J273" s="51"/>
      <c r="K273" s="51"/>
      <c r="L273" s="51"/>
      <c r="M273" s="51"/>
      <c r="N273" s="51"/>
      <c r="O273" s="51"/>
      <c r="P273" s="51"/>
      <c r="Q273" s="58"/>
    </row>
    <row r="274" spans="2:17" x14ac:dyDescent="0.2">
      <c r="B274" s="48" t="s">
        <v>620</v>
      </c>
      <c r="C274" s="49" t="s">
        <v>634</v>
      </c>
      <c r="D274" s="49" t="s">
        <v>636</v>
      </c>
      <c r="E274" s="51">
        <f>19474.81+35254.49+10874.94</f>
        <v>65604.240000000005</v>
      </c>
      <c r="F274" s="51">
        <f>214.05+24051.89+20152.07</f>
        <v>44418.009999999995</v>
      </c>
      <c r="G274" s="57">
        <f>19771.23+8763.71+24214.04</f>
        <v>52748.979999999996</v>
      </c>
      <c r="H274" s="51">
        <f>1325.32+9291.05+34147.13</f>
        <v>44763.5</v>
      </c>
      <c r="I274" s="51">
        <v>0</v>
      </c>
      <c r="J274" s="51"/>
      <c r="K274" s="51"/>
      <c r="L274" s="51"/>
      <c r="M274" s="51"/>
      <c r="N274" s="51"/>
      <c r="O274" s="51"/>
      <c r="P274" s="51"/>
      <c r="Q274" s="58"/>
    </row>
    <row r="275" spans="2:17" x14ac:dyDescent="0.2">
      <c r="B275" s="48" t="s">
        <v>620</v>
      </c>
      <c r="C275" s="49" t="s">
        <v>633</v>
      </c>
      <c r="D275" s="49" t="s">
        <v>637</v>
      </c>
      <c r="E275" s="51">
        <f>5289+3587+7128.1</f>
        <v>16004.1</v>
      </c>
      <c r="F275" s="51">
        <f>5289+3587+7128.1</f>
        <v>16004.1</v>
      </c>
      <c r="G275" s="51">
        <f>5289+3587+7128.1</f>
        <v>16004.1</v>
      </c>
      <c r="H275" s="51">
        <f>5289+7128.1+4484</f>
        <v>16901.099999999999</v>
      </c>
      <c r="I275" s="51">
        <v>0</v>
      </c>
      <c r="J275" s="51"/>
      <c r="K275" s="51"/>
      <c r="L275" s="51"/>
      <c r="M275" s="51"/>
      <c r="N275" s="51"/>
      <c r="O275" s="51"/>
      <c r="P275" s="51"/>
      <c r="Q275" s="58"/>
    </row>
    <row r="276" spans="2:17" x14ac:dyDescent="0.2">
      <c r="B276" s="76" t="s">
        <v>620</v>
      </c>
      <c r="C276" s="49" t="s">
        <v>536</v>
      </c>
      <c r="D276" s="49" t="s">
        <v>537</v>
      </c>
      <c r="E276" s="51"/>
      <c r="F276" s="51"/>
      <c r="G276" s="57"/>
      <c r="H276" s="51">
        <v>34710.74</v>
      </c>
      <c r="I276" s="51">
        <v>101157.02</v>
      </c>
      <c r="J276" s="51"/>
      <c r="K276" s="51"/>
      <c r="L276" s="51"/>
      <c r="M276" s="51"/>
      <c r="N276" s="51"/>
      <c r="O276" s="51"/>
      <c r="P276" s="51"/>
      <c r="Q276" s="58"/>
    </row>
    <row r="277" spans="2:17" x14ac:dyDescent="0.2">
      <c r="B277" s="48" t="s">
        <v>620</v>
      </c>
      <c r="C277" s="49"/>
      <c r="D277" s="49"/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/>
      <c r="K277" s="51"/>
      <c r="L277" s="51"/>
      <c r="M277" s="51"/>
      <c r="N277" s="51"/>
      <c r="O277" s="51"/>
      <c r="P277" s="51"/>
      <c r="Q277" s="58"/>
    </row>
    <row r="278" spans="2:17" ht="12.75" thickBot="1" x14ac:dyDescent="0.25">
      <c r="B278" s="48" t="s">
        <v>620</v>
      </c>
      <c r="C278" s="49"/>
      <c r="D278" s="49"/>
      <c r="E278" s="51">
        <v>0</v>
      </c>
      <c r="F278" s="51">
        <v>0</v>
      </c>
      <c r="G278" s="51">
        <v>0</v>
      </c>
      <c r="H278" s="51">
        <v>0</v>
      </c>
      <c r="I278" s="51">
        <v>0</v>
      </c>
      <c r="J278" s="51"/>
      <c r="K278" s="51"/>
      <c r="L278" s="51"/>
      <c r="M278" s="51"/>
      <c r="N278" s="51"/>
      <c r="O278" s="51"/>
      <c r="P278" s="51"/>
      <c r="Q278" s="58"/>
    </row>
    <row r="279" spans="2:17" ht="13.5" thickTop="1" thickBot="1" x14ac:dyDescent="0.25">
      <c r="B279" s="163" t="s">
        <v>638</v>
      </c>
      <c r="C279" s="164"/>
      <c r="D279" s="165"/>
      <c r="E279" s="55">
        <f>SUM(E264:E278)</f>
        <v>2913301.4800000009</v>
      </c>
      <c r="F279" s="55">
        <f t="shared" ref="F279:Q279" si="24">SUM(F264:F278)</f>
        <v>2359088.94</v>
      </c>
      <c r="G279" s="55">
        <f t="shared" si="24"/>
        <v>2804834.3600000003</v>
      </c>
      <c r="H279" s="55">
        <f t="shared" si="24"/>
        <v>4095200.28</v>
      </c>
      <c r="I279" s="55">
        <f t="shared" si="24"/>
        <v>1541725.19</v>
      </c>
      <c r="J279" s="55">
        <f t="shared" si="24"/>
        <v>999586.78</v>
      </c>
      <c r="K279" s="55">
        <f t="shared" si="24"/>
        <v>0</v>
      </c>
      <c r="L279" s="55">
        <f t="shared" si="24"/>
        <v>0</v>
      </c>
      <c r="M279" s="55">
        <f t="shared" si="24"/>
        <v>0</v>
      </c>
      <c r="N279" s="55">
        <f t="shared" si="24"/>
        <v>0</v>
      </c>
      <c r="O279" s="55">
        <f t="shared" si="24"/>
        <v>0</v>
      </c>
      <c r="P279" s="55">
        <f t="shared" si="24"/>
        <v>0</v>
      </c>
      <c r="Q279" s="55">
        <f t="shared" si="24"/>
        <v>12834409.329999998</v>
      </c>
    </row>
    <row r="280" spans="2:17" s="44" customFormat="1" ht="12.75" hidden="1" thickTop="1" x14ac:dyDescent="0.25">
      <c r="B280" s="46" t="s">
        <v>361</v>
      </c>
      <c r="C280" s="46" t="s">
        <v>362</v>
      </c>
      <c r="D280" s="46" t="s">
        <v>363</v>
      </c>
      <c r="E280" s="90">
        <v>44927</v>
      </c>
      <c r="F280" s="90">
        <v>44958</v>
      </c>
      <c r="G280" s="90">
        <v>44986</v>
      </c>
      <c r="H280" s="90">
        <v>45017</v>
      </c>
      <c r="I280" s="90">
        <v>45047</v>
      </c>
      <c r="J280" s="90">
        <v>45078</v>
      </c>
      <c r="K280" s="90">
        <v>45108</v>
      </c>
      <c r="L280" s="90">
        <v>45139</v>
      </c>
      <c r="M280" s="90">
        <v>45170</v>
      </c>
      <c r="N280" s="90">
        <v>45200</v>
      </c>
      <c r="O280" s="90">
        <v>45231</v>
      </c>
      <c r="P280" s="90">
        <v>45261</v>
      </c>
    </row>
    <row r="281" spans="2:17" ht="12.75" hidden="1" thickTop="1" x14ac:dyDescent="0.2">
      <c r="B281" s="48" t="s">
        <v>639</v>
      </c>
      <c r="C281" s="49"/>
      <c r="D281" s="49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53">
        <f>+P281+O281+N281+M281+L281+K281+J281+I281+H281+G281+F281+E281</f>
        <v>0</v>
      </c>
    </row>
    <row r="282" spans="2:17" ht="12.75" hidden="1" thickTop="1" x14ac:dyDescent="0.2">
      <c r="B282" s="48" t="s">
        <v>639</v>
      </c>
      <c r="C282" s="49"/>
      <c r="D282" s="49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53">
        <f>+P282+O282+N282+M282+L282+K282+J282+I282+H282+G282+F282+E282</f>
        <v>0</v>
      </c>
    </row>
    <row r="283" spans="2:17" ht="12.75" hidden="1" thickTop="1" x14ac:dyDescent="0.2">
      <c r="B283" s="48" t="s">
        <v>639</v>
      </c>
      <c r="C283" s="49"/>
      <c r="D283" s="49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53">
        <f>+P283+O283+N283+M283+L283+K283+J283+I283+H283+G283+F283+E283</f>
        <v>0</v>
      </c>
    </row>
    <row r="284" spans="2:17" ht="13.5" hidden="1" thickTop="1" thickBot="1" x14ac:dyDescent="0.25">
      <c r="E284" s="91">
        <f t="shared" ref="E284:Q284" si="25">SUM(E281:E283)</f>
        <v>0</v>
      </c>
      <c r="F284" s="91">
        <f t="shared" si="25"/>
        <v>0</v>
      </c>
      <c r="G284" s="91">
        <f t="shared" si="25"/>
        <v>0</v>
      </c>
      <c r="H284" s="91">
        <f t="shared" si="25"/>
        <v>0</v>
      </c>
      <c r="I284" s="91">
        <f t="shared" si="25"/>
        <v>0</v>
      </c>
      <c r="J284" s="91">
        <f t="shared" si="25"/>
        <v>0</v>
      </c>
      <c r="K284" s="91">
        <f t="shared" si="25"/>
        <v>0</v>
      </c>
      <c r="L284" s="91">
        <f t="shared" si="25"/>
        <v>0</v>
      </c>
      <c r="M284" s="91">
        <f t="shared" si="25"/>
        <v>0</v>
      </c>
      <c r="N284" s="91">
        <f t="shared" si="25"/>
        <v>0</v>
      </c>
      <c r="O284" s="91">
        <f t="shared" si="25"/>
        <v>0</v>
      </c>
      <c r="P284" s="91">
        <f t="shared" si="25"/>
        <v>0</v>
      </c>
      <c r="Q284" s="91">
        <f t="shared" si="25"/>
        <v>0</v>
      </c>
    </row>
    <row r="285" spans="2:17" ht="12.75" hidden="1" thickTop="1" x14ac:dyDescent="0.2"/>
    <row r="286" spans="2:17" ht="12.75" thickTop="1" x14ac:dyDescent="0.2">
      <c r="C286" s="59"/>
    </row>
    <row r="287" spans="2:17" s="44" customFormat="1" x14ac:dyDescent="0.25">
      <c r="B287" s="46" t="s">
        <v>361</v>
      </c>
      <c r="C287" s="46" t="s">
        <v>362</v>
      </c>
      <c r="D287" s="46" t="s">
        <v>363</v>
      </c>
      <c r="E287" s="47">
        <v>46023</v>
      </c>
      <c r="F287" s="47">
        <v>46054</v>
      </c>
      <c r="G287" s="47">
        <v>46082</v>
      </c>
      <c r="H287" s="47">
        <v>46113</v>
      </c>
      <c r="I287" s="47">
        <v>46143</v>
      </c>
      <c r="J287" s="47">
        <v>46174</v>
      </c>
      <c r="K287" s="47">
        <v>46204</v>
      </c>
      <c r="L287" s="47">
        <v>46235</v>
      </c>
      <c r="M287" s="47">
        <v>46266</v>
      </c>
      <c r="N287" s="47">
        <v>46296</v>
      </c>
      <c r="O287" s="47">
        <v>46327</v>
      </c>
      <c r="P287" s="47">
        <v>46357</v>
      </c>
    </row>
    <row r="288" spans="2:17" x14ac:dyDescent="0.2">
      <c r="B288" s="48" t="s">
        <v>640</v>
      </c>
      <c r="C288" s="62"/>
      <c r="D288" s="62" t="s">
        <v>414</v>
      </c>
      <c r="E288" s="51">
        <v>0</v>
      </c>
      <c r="F288" s="51">
        <v>0</v>
      </c>
      <c r="G288" s="51">
        <f>30000+257595</f>
        <v>287595</v>
      </c>
      <c r="H288" s="51">
        <v>0</v>
      </c>
      <c r="I288" s="51">
        <v>0</v>
      </c>
      <c r="J288" s="51">
        <f>30000+1024793.6</f>
        <v>1054793.6000000001</v>
      </c>
      <c r="K288" s="51"/>
      <c r="L288" s="51"/>
      <c r="M288" s="51"/>
      <c r="N288" s="51"/>
      <c r="O288" s="51"/>
      <c r="P288" s="51"/>
      <c r="Q288" s="58">
        <f t="shared" ref="Q288:Q307" si="26">+P288+O288+N288+M288+L288+K288+J288+I288+H288+G288+F288+E288</f>
        <v>1342388.6</v>
      </c>
    </row>
    <row r="289" spans="2:17" x14ac:dyDescent="0.2">
      <c r="B289" s="48" t="s">
        <v>640</v>
      </c>
      <c r="C289" s="62"/>
      <c r="D289" s="62" t="s">
        <v>641</v>
      </c>
      <c r="E289" s="51">
        <v>0</v>
      </c>
      <c r="F289" s="57">
        <v>0</v>
      </c>
      <c r="G289" s="51">
        <v>0</v>
      </c>
      <c r="H289" s="51">
        <f>31800000+2782500+8175381</f>
        <v>42757881</v>
      </c>
      <c r="I289" s="51">
        <v>0</v>
      </c>
      <c r="J289" s="51"/>
      <c r="K289" s="51"/>
      <c r="L289" s="51"/>
      <c r="M289" s="51"/>
      <c r="N289" s="51"/>
      <c r="O289" s="51"/>
      <c r="P289" s="51"/>
      <c r="Q289" s="58">
        <f t="shared" si="26"/>
        <v>42757881</v>
      </c>
    </row>
    <row r="290" spans="2:17" x14ac:dyDescent="0.2">
      <c r="B290" s="48" t="s">
        <v>640</v>
      </c>
      <c r="C290" s="62"/>
      <c r="D290" s="62" t="s">
        <v>642</v>
      </c>
      <c r="E290" s="51">
        <v>0</v>
      </c>
      <c r="F290" s="57">
        <v>0</v>
      </c>
      <c r="G290" s="57">
        <v>0</v>
      </c>
      <c r="H290" s="51">
        <v>0</v>
      </c>
      <c r="I290" s="51">
        <v>12949768.699999999</v>
      </c>
      <c r="J290" s="51"/>
      <c r="K290" s="51"/>
      <c r="L290" s="51"/>
      <c r="M290" s="51"/>
      <c r="N290" s="51"/>
      <c r="O290" s="51"/>
      <c r="P290" s="51"/>
      <c r="Q290" s="58">
        <f t="shared" si="26"/>
        <v>12949768.699999999</v>
      </c>
    </row>
    <row r="291" spans="2:17" x14ac:dyDescent="0.2">
      <c r="B291" s="48" t="s">
        <v>640</v>
      </c>
      <c r="C291" s="62" t="s">
        <v>442</v>
      </c>
      <c r="D291" s="49" t="s">
        <v>443</v>
      </c>
      <c r="E291" s="51">
        <v>0</v>
      </c>
      <c r="F291" s="57">
        <v>0</v>
      </c>
      <c r="G291" s="57">
        <v>0</v>
      </c>
      <c r="H291" s="57">
        <v>0</v>
      </c>
      <c r="I291" s="51"/>
      <c r="J291" s="51"/>
      <c r="K291" s="51"/>
      <c r="L291" s="51"/>
      <c r="M291" s="51"/>
      <c r="N291" s="51"/>
      <c r="O291" s="51"/>
      <c r="P291" s="51"/>
      <c r="Q291" s="58">
        <f t="shared" si="26"/>
        <v>0</v>
      </c>
    </row>
    <row r="292" spans="2:17" x14ac:dyDescent="0.2">
      <c r="B292" s="48" t="s">
        <v>640</v>
      </c>
      <c r="C292" s="49" t="s">
        <v>444</v>
      </c>
      <c r="D292" s="49" t="s">
        <v>445</v>
      </c>
      <c r="E292" s="51">
        <v>0</v>
      </c>
      <c r="F292" s="57">
        <v>0</v>
      </c>
      <c r="G292" s="57">
        <v>0</v>
      </c>
      <c r="H292" s="57">
        <v>0</v>
      </c>
      <c r="I292" s="51"/>
      <c r="J292" s="51"/>
      <c r="K292" s="51"/>
      <c r="L292" s="51"/>
      <c r="M292" s="51"/>
      <c r="N292" s="51"/>
      <c r="O292" s="51"/>
      <c r="P292" s="51"/>
      <c r="Q292" s="58">
        <f t="shared" si="26"/>
        <v>0</v>
      </c>
    </row>
    <row r="293" spans="2:17" x14ac:dyDescent="0.2">
      <c r="B293" s="48" t="s">
        <v>640</v>
      </c>
      <c r="C293" s="62"/>
      <c r="D293" s="49" t="s">
        <v>643</v>
      </c>
      <c r="E293" s="51">
        <v>0</v>
      </c>
      <c r="F293" s="57">
        <v>0</v>
      </c>
      <c r="G293" s="57">
        <v>0</v>
      </c>
      <c r="H293" s="57">
        <v>0</v>
      </c>
      <c r="I293" s="51">
        <v>6533300.8300000001</v>
      </c>
      <c r="J293" s="51"/>
      <c r="K293" s="51"/>
      <c r="L293" s="51"/>
      <c r="M293" s="51"/>
      <c r="N293" s="51"/>
      <c r="O293" s="51"/>
      <c r="P293" s="51"/>
      <c r="Q293" s="58">
        <f t="shared" si="26"/>
        <v>6533300.8300000001</v>
      </c>
    </row>
    <row r="294" spans="2:17" x14ac:dyDescent="0.2">
      <c r="B294" s="48" t="s">
        <v>640</v>
      </c>
      <c r="C294" s="49"/>
      <c r="D294" s="49"/>
      <c r="E294" s="51">
        <v>0</v>
      </c>
      <c r="F294" s="57">
        <v>0</v>
      </c>
      <c r="G294" s="57">
        <v>0</v>
      </c>
      <c r="H294" s="57">
        <v>0</v>
      </c>
      <c r="I294" s="51"/>
      <c r="J294" s="51"/>
      <c r="K294" s="51"/>
      <c r="L294" s="51"/>
      <c r="M294" s="51"/>
      <c r="N294" s="51"/>
      <c r="O294" s="51"/>
      <c r="P294" s="51"/>
      <c r="Q294" s="58">
        <f t="shared" si="26"/>
        <v>0</v>
      </c>
    </row>
    <row r="295" spans="2:17" x14ac:dyDescent="0.2">
      <c r="B295" s="48" t="s">
        <v>640</v>
      </c>
      <c r="C295" s="49"/>
      <c r="D295" s="49"/>
      <c r="E295" s="51">
        <v>0</v>
      </c>
      <c r="F295" s="57">
        <v>0</v>
      </c>
      <c r="G295" s="57">
        <v>0</v>
      </c>
      <c r="H295" s="57">
        <v>0</v>
      </c>
      <c r="I295" s="51"/>
      <c r="J295" s="51"/>
      <c r="K295" s="51"/>
      <c r="L295" s="51"/>
      <c r="M295" s="51"/>
      <c r="N295" s="51"/>
      <c r="O295" s="51"/>
      <c r="P295" s="51"/>
      <c r="Q295" s="58">
        <f t="shared" si="26"/>
        <v>0</v>
      </c>
    </row>
    <row r="296" spans="2:17" x14ac:dyDescent="0.2">
      <c r="B296" s="48" t="s">
        <v>640</v>
      </c>
      <c r="C296" s="49"/>
      <c r="D296" s="49"/>
      <c r="E296" s="51">
        <v>0</v>
      </c>
      <c r="F296" s="57">
        <v>0</v>
      </c>
      <c r="G296" s="57">
        <v>0</v>
      </c>
      <c r="H296" s="57">
        <v>0</v>
      </c>
      <c r="I296" s="51"/>
      <c r="J296" s="51"/>
      <c r="K296" s="51"/>
      <c r="L296" s="51"/>
      <c r="M296" s="51"/>
      <c r="N296" s="51"/>
      <c r="O296" s="51"/>
      <c r="P296" s="51"/>
      <c r="Q296" s="58">
        <f t="shared" si="26"/>
        <v>0</v>
      </c>
    </row>
    <row r="297" spans="2:17" x14ac:dyDescent="0.2">
      <c r="B297" s="48" t="s">
        <v>640</v>
      </c>
      <c r="C297" s="49"/>
      <c r="D297" s="49"/>
      <c r="E297" s="51">
        <v>0</v>
      </c>
      <c r="F297" s="57">
        <v>0</v>
      </c>
      <c r="G297" s="57">
        <v>0</v>
      </c>
      <c r="H297" s="57">
        <v>0</v>
      </c>
      <c r="I297" s="51"/>
      <c r="J297" s="51"/>
      <c r="K297" s="51"/>
      <c r="L297" s="51"/>
      <c r="M297" s="51"/>
      <c r="N297" s="51"/>
      <c r="O297" s="51"/>
      <c r="P297" s="51"/>
      <c r="Q297" s="58">
        <f t="shared" si="26"/>
        <v>0</v>
      </c>
    </row>
    <row r="298" spans="2:17" x14ac:dyDescent="0.2">
      <c r="B298" s="48" t="s">
        <v>640</v>
      </c>
      <c r="C298" s="49"/>
      <c r="D298" s="49"/>
      <c r="E298" s="51">
        <v>0</v>
      </c>
      <c r="F298" s="57">
        <v>0</v>
      </c>
      <c r="G298" s="57">
        <v>0</v>
      </c>
      <c r="H298" s="57">
        <v>0</v>
      </c>
      <c r="I298" s="51"/>
      <c r="J298" s="51"/>
      <c r="K298" s="51"/>
      <c r="L298" s="51"/>
      <c r="M298" s="51"/>
      <c r="N298" s="51"/>
      <c r="O298" s="51"/>
      <c r="P298" s="51"/>
      <c r="Q298" s="58">
        <f t="shared" si="26"/>
        <v>0</v>
      </c>
    </row>
    <row r="299" spans="2:17" x14ac:dyDescent="0.2">
      <c r="B299" s="48" t="s">
        <v>640</v>
      </c>
      <c r="C299" s="49"/>
      <c r="D299" s="49"/>
      <c r="E299" s="51">
        <v>0</v>
      </c>
      <c r="F299" s="57">
        <v>0</v>
      </c>
      <c r="G299" s="57">
        <v>0</v>
      </c>
      <c r="H299" s="57">
        <v>0</v>
      </c>
      <c r="I299" s="51"/>
      <c r="J299" s="51"/>
      <c r="K299" s="51"/>
      <c r="L299" s="51"/>
      <c r="M299" s="51"/>
      <c r="N299" s="51"/>
      <c r="O299" s="51"/>
      <c r="P299" s="51"/>
      <c r="Q299" s="58">
        <f t="shared" si="26"/>
        <v>0</v>
      </c>
    </row>
    <row r="300" spans="2:17" x14ac:dyDescent="0.2">
      <c r="B300" s="48" t="s">
        <v>640</v>
      </c>
      <c r="C300" s="49"/>
      <c r="D300" s="49"/>
      <c r="E300" s="51">
        <v>0</v>
      </c>
      <c r="F300" s="57">
        <v>0</v>
      </c>
      <c r="G300" s="57">
        <v>0</v>
      </c>
      <c r="H300" s="57">
        <v>0</v>
      </c>
      <c r="I300" s="51"/>
      <c r="J300" s="51"/>
      <c r="K300" s="51"/>
      <c r="L300" s="51"/>
      <c r="M300" s="51"/>
      <c r="N300" s="51"/>
      <c r="O300" s="51"/>
      <c r="P300" s="51"/>
      <c r="Q300" s="58">
        <f t="shared" si="26"/>
        <v>0</v>
      </c>
    </row>
    <row r="301" spans="2:17" x14ac:dyDescent="0.2">
      <c r="B301" s="48" t="s">
        <v>640</v>
      </c>
      <c r="C301" s="49"/>
      <c r="D301" s="49"/>
      <c r="E301" s="51">
        <v>0</v>
      </c>
      <c r="F301" s="57">
        <v>0</v>
      </c>
      <c r="G301" s="57">
        <v>0</v>
      </c>
      <c r="H301" s="57">
        <v>0</v>
      </c>
      <c r="I301" s="51"/>
      <c r="J301" s="51"/>
      <c r="K301" s="51"/>
      <c r="L301" s="51"/>
      <c r="M301" s="51"/>
      <c r="N301" s="51"/>
      <c r="O301" s="51"/>
      <c r="P301" s="51"/>
      <c r="Q301" s="58">
        <f t="shared" si="26"/>
        <v>0</v>
      </c>
    </row>
    <row r="302" spans="2:17" x14ac:dyDescent="0.2">
      <c r="B302" s="48" t="s">
        <v>640</v>
      </c>
      <c r="C302" s="49"/>
      <c r="D302" s="49"/>
      <c r="E302" s="51">
        <v>0</v>
      </c>
      <c r="F302" s="57">
        <v>0</v>
      </c>
      <c r="G302" s="57">
        <v>0</v>
      </c>
      <c r="H302" s="57">
        <v>0</v>
      </c>
      <c r="I302" s="51"/>
      <c r="J302" s="51"/>
      <c r="K302" s="51"/>
      <c r="L302" s="51"/>
      <c r="M302" s="51"/>
      <c r="N302" s="51"/>
      <c r="O302" s="51"/>
      <c r="P302" s="51"/>
      <c r="Q302" s="58">
        <f t="shared" si="26"/>
        <v>0</v>
      </c>
    </row>
    <row r="303" spans="2:17" x14ac:dyDescent="0.2">
      <c r="B303" s="48" t="s">
        <v>640</v>
      </c>
      <c r="C303" s="49"/>
      <c r="D303" s="49"/>
      <c r="E303" s="51">
        <v>0</v>
      </c>
      <c r="F303" s="57">
        <v>0</v>
      </c>
      <c r="G303" s="57">
        <v>0</v>
      </c>
      <c r="H303" s="57">
        <v>0</v>
      </c>
      <c r="I303" s="51"/>
      <c r="J303" s="51"/>
      <c r="K303" s="51"/>
      <c r="L303" s="51"/>
      <c r="M303" s="51"/>
      <c r="N303" s="51"/>
      <c r="O303" s="51"/>
      <c r="P303" s="51"/>
      <c r="Q303" s="58">
        <f t="shared" si="26"/>
        <v>0</v>
      </c>
    </row>
    <row r="304" spans="2:17" x14ac:dyDescent="0.2">
      <c r="B304" s="48" t="s">
        <v>640</v>
      </c>
      <c r="C304" s="49"/>
      <c r="D304" s="49"/>
      <c r="E304" s="51">
        <v>0</v>
      </c>
      <c r="F304" s="57">
        <v>0</v>
      </c>
      <c r="G304" s="57">
        <v>0</v>
      </c>
      <c r="H304" s="57">
        <v>0</v>
      </c>
      <c r="I304" s="51"/>
      <c r="J304" s="51"/>
      <c r="K304" s="51"/>
      <c r="L304" s="51"/>
      <c r="M304" s="51"/>
      <c r="N304" s="51"/>
      <c r="O304" s="51"/>
      <c r="P304" s="51"/>
      <c r="Q304" s="58">
        <f t="shared" si="26"/>
        <v>0</v>
      </c>
    </row>
    <row r="305" spans="2:17" x14ac:dyDescent="0.2">
      <c r="B305" s="48" t="s">
        <v>640</v>
      </c>
      <c r="C305" s="49"/>
      <c r="D305" s="49"/>
      <c r="E305" s="51">
        <v>0</v>
      </c>
      <c r="F305" s="57">
        <v>0</v>
      </c>
      <c r="G305" s="57">
        <v>0</v>
      </c>
      <c r="H305" s="57">
        <v>0</v>
      </c>
      <c r="I305" s="51"/>
      <c r="J305" s="51"/>
      <c r="K305" s="51"/>
      <c r="L305" s="51"/>
      <c r="M305" s="51"/>
      <c r="N305" s="51"/>
      <c r="O305" s="51"/>
      <c r="P305" s="51"/>
      <c r="Q305" s="58">
        <f t="shared" si="26"/>
        <v>0</v>
      </c>
    </row>
    <row r="306" spans="2:17" x14ac:dyDescent="0.2">
      <c r="B306" s="48" t="s">
        <v>640</v>
      </c>
      <c r="C306" s="49"/>
      <c r="D306" s="49"/>
      <c r="E306" s="51">
        <v>0</v>
      </c>
      <c r="F306" s="57">
        <v>0</v>
      </c>
      <c r="G306" s="57">
        <v>0</v>
      </c>
      <c r="H306" s="57">
        <v>0</v>
      </c>
      <c r="I306" s="51"/>
      <c r="J306" s="51"/>
      <c r="K306" s="51"/>
      <c r="L306" s="51"/>
      <c r="M306" s="51"/>
      <c r="N306" s="51"/>
      <c r="O306" s="51"/>
      <c r="P306" s="51"/>
      <c r="Q306" s="58">
        <f t="shared" si="26"/>
        <v>0</v>
      </c>
    </row>
    <row r="307" spans="2:17" ht="12.75" thickBot="1" x14ac:dyDescent="0.25">
      <c r="B307" s="48" t="s">
        <v>640</v>
      </c>
      <c r="C307" s="49"/>
      <c r="D307" s="49"/>
      <c r="E307" s="51">
        <v>0</v>
      </c>
      <c r="F307" s="57">
        <v>0</v>
      </c>
      <c r="G307" s="57">
        <v>0</v>
      </c>
      <c r="H307" s="57">
        <v>0</v>
      </c>
      <c r="I307" s="51"/>
      <c r="J307" s="51"/>
      <c r="K307" s="51"/>
      <c r="L307" s="51"/>
      <c r="M307" s="51"/>
      <c r="N307" s="51"/>
      <c r="O307" s="51"/>
      <c r="P307" s="51"/>
      <c r="Q307" s="58">
        <f t="shared" si="26"/>
        <v>0</v>
      </c>
    </row>
    <row r="308" spans="2:17" ht="13.5" thickTop="1" thickBot="1" x14ac:dyDescent="0.25">
      <c r="B308" s="163" t="s">
        <v>644</v>
      </c>
      <c r="C308" s="164"/>
      <c r="D308" s="165"/>
      <c r="E308" s="55">
        <f t="shared" ref="E308:Q308" si="27">SUM(E288:E307)</f>
        <v>0</v>
      </c>
      <c r="F308" s="55">
        <f t="shared" si="27"/>
        <v>0</v>
      </c>
      <c r="G308" s="55">
        <f t="shared" si="27"/>
        <v>287595</v>
      </c>
      <c r="H308" s="55">
        <f t="shared" si="27"/>
        <v>42757881</v>
      </c>
      <c r="I308" s="55">
        <f t="shared" si="27"/>
        <v>19483069.530000001</v>
      </c>
      <c r="J308" s="55">
        <f t="shared" si="27"/>
        <v>1054793.6000000001</v>
      </c>
      <c r="K308" s="55">
        <f t="shared" si="27"/>
        <v>0</v>
      </c>
      <c r="L308" s="55">
        <f t="shared" si="27"/>
        <v>0</v>
      </c>
      <c r="M308" s="55">
        <f t="shared" si="27"/>
        <v>0</v>
      </c>
      <c r="N308" s="55">
        <f t="shared" si="27"/>
        <v>0</v>
      </c>
      <c r="O308" s="55">
        <f t="shared" si="27"/>
        <v>0</v>
      </c>
      <c r="P308" s="55">
        <f t="shared" si="27"/>
        <v>0</v>
      </c>
      <c r="Q308" s="55">
        <f t="shared" si="27"/>
        <v>63583339.129999995</v>
      </c>
    </row>
    <row r="309" spans="2:17" ht="12.75" thickTop="1" x14ac:dyDescent="0.2">
      <c r="E309" s="92"/>
      <c r="F309" s="92"/>
    </row>
    <row r="310" spans="2:17" x14ac:dyDescent="0.2">
      <c r="F310" s="93"/>
    </row>
    <row r="311" spans="2:17" ht="13.5" customHeight="1" x14ac:dyDescent="0.2">
      <c r="E311" s="168"/>
    </row>
    <row r="312" spans="2:17" x14ac:dyDescent="0.2">
      <c r="E312" s="168"/>
    </row>
    <row r="313" spans="2:17" x14ac:dyDescent="0.2">
      <c r="E313" s="168"/>
    </row>
    <row r="317" spans="2:17" x14ac:dyDescent="0.2">
      <c r="G317" s="94">
        <f>2300000+4420000+2970000+1990000</f>
        <v>11680000</v>
      </c>
    </row>
    <row r="318" spans="2:17" x14ac:dyDescent="0.2">
      <c r="G318" s="94">
        <v>3000000</v>
      </c>
    </row>
    <row r="319" spans="2:17" x14ac:dyDescent="0.2">
      <c r="G319" s="94">
        <v>4320000</v>
      </c>
    </row>
    <row r="320" spans="2:17" x14ac:dyDescent="0.2">
      <c r="G320" s="94">
        <v>1100000</v>
      </c>
    </row>
    <row r="321" spans="5:7" x14ac:dyDescent="0.2">
      <c r="G321" s="94"/>
    </row>
    <row r="322" spans="5:7" x14ac:dyDescent="0.2">
      <c r="G322" s="94"/>
    </row>
    <row r="323" spans="5:7" x14ac:dyDescent="0.2">
      <c r="G323" s="94"/>
    </row>
    <row r="325" spans="5:7" x14ac:dyDescent="0.2">
      <c r="G325" s="95">
        <f>SUM(G318:G324)</f>
        <v>8420000</v>
      </c>
    </row>
    <row r="326" spans="5:7" x14ac:dyDescent="0.2">
      <c r="G326" s="94">
        <f>+G325-G317</f>
        <v>-3260000</v>
      </c>
    </row>
    <row r="327" spans="5:7" x14ac:dyDescent="0.2">
      <c r="E327" s="94"/>
      <c r="G327" s="94"/>
    </row>
    <row r="328" spans="5:7" x14ac:dyDescent="0.2">
      <c r="E328" s="94"/>
      <c r="G328" s="94"/>
    </row>
    <row r="329" spans="5:7" x14ac:dyDescent="0.2">
      <c r="E329" s="94"/>
      <c r="G329" s="94"/>
    </row>
    <row r="330" spans="5:7" x14ac:dyDescent="0.2">
      <c r="G330" s="94"/>
    </row>
    <row r="331" spans="5:7" x14ac:dyDescent="0.2">
      <c r="G331" s="94"/>
    </row>
    <row r="332" spans="5:7" x14ac:dyDescent="0.2">
      <c r="G332" s="94"/>
    </row>
    <row r="333" spans="5:7" x14ac:dyDescent="0.2">
      <c r="G333" s="94"/>
    </row>
    <row r="334" spans="5:7" x14ac:dyDescent="0.2">
      <c r="G334" s="94"/>
    </row>
    <row r="335" spans="5:7" x14ac:dyDescent="0.2">
      <c r="G335" s="94"/>
    </row>
    <row r="336" spans="5:7" x14ac:dyDescent="0.2">
      <c r="G336" s="94"/>
    </row>
    <row r="337" spans="7:7" x14ac:dyDescent="0.2">
      <c r="G337" s="94"/>
    </row>
    <row r="338" spans="7:7" x14ac:dyDescent="0.2">
      <c r="G338" s="94"/>
    </row>
    <row r="339" spans="7:7" x14ac:dyDescent="0.2">
      <c r="G339" s="94"/>
    </row>
    <row r="340" spans="7:7" x14ac:dyDescent="0.2">
      <c r="G340" s="94"/>
    </row>
  </sheetData>
  <mergeCells count="17">
    <mergeCell ref="B308:D308"/>
    <mergeCell ref="E311:E313"/>
    <mergeCell ref="B157:D157"/>
    <mergeCell ref="B163:D163"/>
    <mergeCell ref="B174:D174"/>
    <mergeCell ref="B190:D190"/>
    <mergeCell ref="B216:D216"/>
    <mergeCell ref="B253:D253"/>
    <mergeCell ref="B260:D260"/>
    <mergeCell ref="B279:D279"/>
    <mergeCell ref="B112:D112"/>
    <mergeCell ref="C125:D125"/>
    <mergeCell ref="B8:D8"/>
    <mergeCell ref="B34:D34"/>
    <mergeCell ref="B42:D42"/>
    <mergeCell ref="B80:D80"/>
    <mergeCell ref="B91:D91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DD55-C49A-443A-A38B-23E1F8E74F05}">
  <dimension ref="B2:Y45"/>
  <sheetViews>
    <sheetView topLeftCell="A19" zoomScale="110" zoomScaleNormal="110" workbookViewId="0">
      <selection activeCell="L36" sqref="L36"/>
    </sheetView>
  </sheetViews>
  <sheetFormatPr baseColWidth="10" defaultRowHeight="15" x14ac:dyDescent="0.25"/>
  <cols>
    <col min="1" max="1" width="2.140625" customWidth="1"/>
    <col min="2" max="2" width="11.42578125" bestFit="1" customWidth="1"/>
    <col min="3" max="3" width="7.28515625" bestFit="1" customWidth="1"/>
    <col min="4" max="4" width="16.42578125" bestFit="1" customWidth="1"/>
    <col min="5" max="7" width="14.7109375" bestFit="1" customWidth="1"/>
    <col min="8" max="8" width="13.7109375" bestFit="1" customWidth="1"/>
    <col min="9" max="9" width="16.28515625" bestFit="1" customWidth="1"/>
    <col min="10" max="10" width="2.85546875" customWidth="1"/>
    <col min="11" max="11" width="7.28515625" bestFit="1" customWidth="1"/>
    <col min="12" max="12" width="16.42578125" bestFit="1" customWidth="1"/>
    <col min="13" max="15" width="14.7109375" bestFit="1" customWidth="1"/>
    <col min="16" max="16" width="13.7109375" bestFit="1" customWidth="1"/>
    <col min="17" max="17" width="16.28515625" bestFit="1" customWidth="1"/>
    <col min="18" max="18" width="2.140625" customWidth="1"/>
    <col min="19" max="19" width="7.28515625" bestFit="1" customWidth="1"/>
    <col min="20" max="20" width="16.42578125" bestFit="1" customWidth="1"/>
    <col min="21" max="23" width="14.7109375" bestFit="1" customWidth="1"/>
    <col min="24" max="24" width="13.7109375" bestFit="1" customWidth="1"/>
    <col min="25" max="25" width="16.28515625" bestFit="1" customWidth="1"/>
  </cols>
  <sheetData>
    <row r="2" spans="2:25" x14ac:dyDescent="0.25">
      <c r="C2" s="169">
        <v>46054</v>
      </c>
      <c r="D2" s="170"/>
      <c r="E2" s="170"/>
      <c r="F2" s="170"/>
      <c r="G2" s="170"/>
      <c r="H2" s="170"/>
      <c r="I2" s="170"/>
      <c r="K2" s="169">
        <v>46082</v>
      </c>
      <c r="L2" s="170"/>
      <c r="M2" s="170"/>
      <c r="N2" s="170"/>
      <c r="O2" s="170"/>
      <c r="P2" s="170"/>
      <c r="Q2" s="170"/>
      <c r="S2" s="169">
        <v>46113</v>
      </c>
      <c r="T2" s="170"/>
      <c r="U2" s="170"/>
      <c r="V2" s="170"/>
      <c r="W2" s="170"/>
      <c r="X2" s="170"/>
      <c r="Y2" s="170"/>
    </row>
    <row r="3" spans="2:25" x14ac:dyDescent="0.25">
      <c r="B3" s="96" t="s">
        <v>645</v>
      </c>
      <c r="C3" s="96" t="s">
        <v>646</v>
      </c>
      <c r="D3" s="96" t="s">
        <v>647</v>
      </c>
      <c r="E3" s="97" t="s">
        <v>648</v>
      </c>
      <c r="F3" s="96" t="s">
        <v>649</v>
      </c>
      <c r="G3" s="96" t="s">
        <v>650</v>
      </c>
      <c r="H3" s="96" t="s">
        <v>651</v>
      </c>
      <c r="I3" s="96" t="s">
        <v>652</v>
      </c>
      <c r="K3" s="96" t="s">
        <v>646</v>
      </c>
      <c r="L3" s="96" t="s">
        <v>647</v>
      </c>
      <c r="M3" s="97" t="s">
        <v>648</v>
      </c>
      <c r="N3" s="96" t="s">
        <v>649</v>
      </c>
      <c r="O3" s="96" t="s">
        <v>650</v>
      </c>
      <c r="P3" s="96" t="s">
        <v>651</v>
      </c>
      <c r="Q3" s="96" t="s">
        <v>652</v>
      </c>
      <c r="S3" s="96" t="s">
        <v>646</v>
      </c>
      <c r="T3" s="96" t="s">
        <v>647</v>
      </c>
      <c r="U3" s="97" t="s">
        <v>648</v>
      </c>
      <c r="V3" s="96" t="s">
        <v>649</v>
      </c>
      <c r="W3" s="96" t="s">
        <v>650</v>
      </c>
      <c r="X3" s="96" t="s">
        <v>651</v>
      </c>
      <c r="Y3" s="96" t="s">
        <v>652</v>
      </c>
    </row>
    <row r="4" spans="2:25" x14ac:dyDescent="0.25">
      <c r="B4" s="98" t="s">
        <v>653</v>
      </c>
      <c r="C4" s="99"/>
      <c r="D4" s="99"/>
      <c r="E4" s="100">
        <v>45873390.972541384</v>
      </c>
      <c r="F4" s="101">
        <v>7460939.5059729777</v>
      </c>
      <c r="G4" s="101">
        <v>0</v>
      </c>
      <c r="H4" s="101">
        <v>22621.288627524209</v>
      </c>
      <c r="I4" s="102">
        <f>SUM(E4:H4)</f>
        <v>53356951.767141886</v>
      </c>
      <c r="K4" s="99"/>
      <c r="L4" s="99"/>
      <c r="M4" s="100">
        <v>45666099.836173728</v>
      </c>
      <c r="N4" s="101">
        <v>7867981.1073984802</v>
      </c>
      <c r="O4" s="101">
        <v>0</v>
      </c>
      <c r="P4" s="101">
        <v>24558.763805934323</v>
      </c>
      <c r="Q4" s="102">
        <f>SUM(M4:P4)</f>
        <v>53558639.707378142</v>
      </c>
      <c r="S4" s="99"/>
      <c r="T4" s="99"/>
      <c r="U4" s="100">
        <v>48042507.313390918</v>
      </c>
      <c r="V4" s="101">
        <v>8279609.4717584252</v>
      </c>
      <c r="W4" s="101">
        <v>0</v>
      </c>
      <c r="X4" s="101">
        <v>34713.627212829371</v>
      </c>
      <c r="Y4" s="102">
        <f>SUM(U4:X4)</f>
        <v>56356830.412362173</v>
      </c>
    </row>
    <row r="5" spans="2:25" x14ac:dyDescent="0.25">
      <c r="B5" s="98" t="s">
        <v>654</v>
      </c>
      <c r="C5" s="99"/>
      <c r="D5" s="99"/>
      <c r="E5" s="100">
        <v>18710311.122618869</v>
      </c>
      <c r="F5" s="101">
        <v>3043082.1978552132</v>
      </c>
      <c r="G5" s="101">
        <v>0</v>
      </c>
      <c r="H5" s="101">
        <v>9226.5110392402676</v>
      </c>
      <c r="I5" s="102">
        <f t="shared" ref="I5:I22" si="0">SUM(E5:H5)</f>
        <v>21762619.831513319</v>
      </c>
      <c r="K5" s="99"/>
      <c r="L5" s="99"/>
      <c r="M5" s="100">
        <v>17643202.178036824</v>
      </c>
      <c r="N5" s="101">
        <v>3039812.5066254088</v>
      </c>
      <c r="O5" s="101">
        <v>0</v>
      </c>
      <c r="P5" s="101">
        <v>9488.3345988641649</v>
      </c>
      <c r="Q5" s="102">
        <f t="shared" ref="Q5:Q22" si="1">SUM(M5:P5)</f>
        <v>20692503.019261099</v>
      </c>
      <c r="S5" s="99"/>
      <c r="T5" s="99"/>
      <c r="U5" s="100">
        <v>17845622.845410366</v>
      </c>
      <c r="V5" s="101">
        <v>3075501.1801622687</v>
      </c>
      <c r="W5" s="101">
        <v>0</v>
      </c>
      <c r="X5" s="101">
        <v>12894.545548909286</v>
      </c>
      <c r="Y5" s="102">
        <f t="shared" ref="Y5:Y22" si="2">SUM(U5:X5)</f>
        <v>20934018.571121544</v>
      </c>
    </row>
    <row r="6" spans="2:25" x14ac:dyDescent="0.25">
      <c r="B6" s="98" t="s">
        <v>655</v>
      </c>
      <c r="C6" s="99"/>
      <c r="D6" s="99"/>
      <c r="E6" s="100">
        <v>4497100.4138535578</v>
      </c>
      <c r="F6" s="101">
        <v>731417.35173079185</v>
      </c>
      <c r="G6" s="101">
        <v>0</v>
      </c>
      <c r="H6" s="101">
        <v>2217.629965694774</v>
      </c>
      <c r="I6" s="102">
        <f t="shared" si="0"/>
        <v>5230735.3955500443</v>
      </c>
      <c r="K6" s="99"/>
      <c r="L6" s="99"/>
      <c r="M6" s="100">
        <v>4773089.1590208765</v>
      </c>
      <c r="N6" s="101">
        <v>822373.17094805744</v>
      </c>
      <c r="O6" s="101">
        <v>0</v>
      </c>
      <c r="P6" s="101">
        <v>2566.9187800488357</v>
      </c>
      <c r="Q6" s="102">
        <f t="shared" si="1"/>
        <v>5598029.2487489823</v>
      </c>
      <c r="S6" s="99"/>
      <c r="T6" s="99"/>
      <c r="U6" s="100">
        <v>4680478.0885529155</v>
      </c>
      <c r="V6" s="101">
        <v>806630.06328021036</v>
      </c>
      <c r="W6" s="101">
        <v>0</v>
      </c>
      <c r="X6" s="101">
        <v>3381.9294751619868</v>
      </c>
      <c r="Y6" s="102">
        <f t="shared" si="2"/>
        <v>5490490.0813082885</v>
      </c>
    </row>
    <row r="7" spans="2:25" x14ac:dyDescent="0.25">
      <c r="B7" s="98" t="s">
        <v>490</v>
      </c>
      <c r="C7" s="99"/>
      <c r="D7" s="99"/>
      <c r="E7" s="100">
        <v>12089511.282981806</v>
      </c>
      <c r="F7" s="101">
        <v>1966262.1495126844</v>
      </c>
      <c r="G7" s="101">
        <v>0</v>
      </c>
      <c r="H7" s="101">
        <v>5961.6330578600582</v>
      </c>
      <c r="I7" s="102">
        <f t="shared" si="0"/>
        <v>14061735.06555235</v>
      </c>
      <c r="K7" s="99"/>
      <c r="L7" s="99"/>
      <c r="M7" s="100">
        <v>13148796.56864031</v>
      </c>
      <c r="N7" s="101">
        <v>2265454.7543632789</v>
      </c>
      <c r="O7" s="101">
        <v>0</v>
      </c>
      <c r="P7" s="101">
        <v>7071.2889959944032</v>
      </c>
      <c r="Q7" s="102">
        <f t="shared" si="1"/>
        <v>15421322.611999584</v>
      </c>
      <c r="S7" s="99"/>
      <c r="T7" s="99"/>
      <c r="U7" s="100">
        <v>14431474.106371488</v>
      </c>
      <c r="V7" s="101">
        <v>2487109.3617806486</v>
      </c>
      <c r="W7" s="101">
        <v>0</v>
      </c>
      <c r="X7" s="101">
        <v>10427.61588174946</v>
      </c>
      <c r="Y7" s="102">
        <f t="shared" si="2"/>
        <v>16929011.084033884</v>
      </c>
    </row>
    <row r="8" spans="2:25" x14ac:dyDescent="0.25">
      <c r="B8" s="98" t="s">
        <v>656</v>
      </c>
      <c r="C8" s="99"/>
      <c r="D8" s="99"/>
      <c r="E8" s="100">
        <v>815856.5896490789</v>
      </c>
      <c r="F8" s="101">
        <v>132692.53769717502</v>
      </c>
      <c r="G8" s="101">
        <v>0</v>
      </c>
      <c r="H8" s="101">
        <v>402.31879531570945</v>
      </c>
      <c r="I8" s="102">
        <f t="shared" si="0"/>
        <v>948951.44614156964</v>
      </c>
      <c r="K8" s="99"/>
      <c r="L8" s="99"/>
      <c r="M8" s="100">
        <v>782847.42576297815</v>
      </c>
      <c r="N8" s="101">
        <v>134879.67612683107</v>
      </c>
      <c r="O8" s="101">
        <v>0</v>
      </c>
      <c r="P8" s="101">
        <v>421.00737953030267</v>
      </c>
      <c r="Q8" s="102">
        <f t="shared" si="1"/>
        <v>918148.10926933959</v>
      </c>
      <c r="S8" s="99"/>
      <c r="T8" s="99"/>
      <c r="U8" s="100">
        <v>780079.68142548588</v>
      </c>
      <c r="V8" s="101">
        <v>134438.34388003507</v>
      </c>
      <c r="W8" s="101">
        <v>0</v>
      </c>
      <c r="X8" s="101">
        <v>563.6549125269978</v>
      </c>
      <c r="Y8" s="102">
        <f t="shared" si="2"/>
        <v>915081.68021804793</v>
      </c>
    </row>
    <row r="9" spans="2:25" x14ac:dyDescent="0.25">
      <c r="B9" s="98" t="s">
        <v>657</v>
      </c>
      <c r="C9" s="99"/>
      <c r="D9" s="99"/>
      <c r="E9" s="100">
        <v>1599573.3742513759</v>
      </c>
      <c r="F9" s="101">
        <v>260157.79360627951</v>
      </c>
      <c r="G9" s="101">
        <v>0</v>
      </c>
      <c r="H9" s="101">
        <v>788.78866839170917</v>
      </c>
      <c r="I9" s="102">
        <f t="shared" si="0"/>
        <v>1860519.9565260471</v>
      </c>
      <c r="K9" s="99"/>
      <c r="L9" s="99"/>
      <c r="M9" s="100">
        <v>1667034.324116633</v>
      </c>
      <c r="N9" s="101">
        <v>287219.50450309011</v>
      </c>
      <c r="O9" s="101">
        <v>0</v>
      </c>
      <c r="P9" s="101">
        <v>896.51409621663151</v>
      </c>
      <c r="Q9" s="102">
        <f t="shared" si="1"/>
        <v>1955150.3427159397</v>
      </c>
      <c r="S9" s="99"/>
      <c r="T9" s="99"/>
      <c r="U9" s="100">
        <v>1612164.6749460041</v>
      </c>
      <c r="V9" s="101">
        <v>277839.24401873915</v>
      </c>
      <c r="W9" s="101">
        <v>0</v>
      </c>
      <c r="X9" s="101">
        <v>1164.886819222462</v>
      </c>
      <c r="Y9" s="102">
        <f t="shared" si="2"/>
        <v>1891168.8057839656</v>
      </c>
    </row>
    <row r="10" spans="2:25" x14ac:dyDescent="0.25">
      <c r="B10" s="98" t="s">
        <v>658</v>
      </c>
      <c r="C10" s="99"/>
      <c r="D10" s="99"/>
      <c r="E10" s="100">
        <v>741687.80877188977</v>
      </c>
      <c r="F10" s="101">
        <v>120629.57972470456</v>
      </c>
      <c r="G10" s="101">
        <v>0</v>
      </c>
      <c r="H10" s="101">
        <v>365.74435937791765</v>
      </c>
      <c r="I10" s="102">
        <f t="shared" si="0"/>
        <v>862683.13285597216</v>
      </c>
      <c r="K10" s="99"/>
      <c r="L10" s="99"/>
      <c r="M10" s="100">
        <v>871519.46427982021</v>
      </c>
      <c r="N10" s="101">
        <v>150157.30934508055</v>
      </c>
      <c r="O10" s="101">
        <v>0</v>
      </c>
      <c r="P10" s="101">
        <v>468.69429954182561</v>
      </c>
      <c r="Q10" s="102">
        <f t="shared" si="1"/>
        <v>1022145.4679244426</v>
      </c>
      <c r="S10" s="99"/>
      <c r="T10" s="99"/>
      <c r="U10" s="100">
        <v>780079.68142548588</v>
      </c>
      <c r="V10" s="101">
        <v>134438.34388003507</v>
      </c>
      <c r="W10" s="101">
        <v>0</v>
      </c>
      <c r="X10" s="101">
        <v>563.6549125269978</v>
      </c>
      <c r="Y10" s="102">
        <f t="shared" si="2"/>
        <v>915081.68021804793</v>
      </c>
    </row>
    <row r="11" spans="2:25" x14ac:dyDescent="0.25">
      <c r="B11" s="98" t="s">
        <v>659</v>
      </c>
      <c r="C11" s="99"/>
      <c r="D11" s="99"/>
      <c r="E11" s="100">
        <v>1510570.8371987492</v>
      </c>
      <c r="F11" s="101">
        <v>245682.24403931497</v>
      </c>
      <c r="G11" s="101">
        <v>0</v>
      </c>
      <c r="H11" s="101">
        <v>744.89934526635909</v>
      </c>
      <c r="I11" s="102">
        <f t="shared" si="0"/>
        <v>1756997.9805833306</v>
      </c>
      <c r="K11" s="99"/>
      <c r="L11" s="99"/>
      <c r="M11" s="100">
        <v>1737971.9549301069</v>
      </c>
      <c r="N11" s="101">
        <v>299441.61107768968</v>
      </c>
      <c r="O11" s="101">
        <v>0</v>
      </c>
      <c r="P11" s="101">
        <v>934.66363222584994</v>
      </c>
      <c r="Q11" s="102">
        <f t="shared" si="1"/>
        <v>2038348.2296400226</v>
      </c>
      <c r="S11" s="99"/>
      <c r="T11" s="99"/>
      <c r="U11" s="100">
        <v>1775981.4080453562</v>
      </c>
      <c r="V11" s="101">
        <v>306071.29623354651</v>
      </c>
      <c r="W11" s="101">
        <v>0</v>
      </c>
      <c r="X11" s="101">
        <v>1283.2543508531317</v>
      </c>
      <c r="Y11" s="102">
        <f t="shared" si="2"/>
        <v>2083335.9586297558</v>
      </c>
    </row>
    <row r="12" spans="2:25" x14ac:dyDescent="0.25">
      <c r="B12" s="98" t="s">
        <v>660</v>
      </c>
      <c r="C12" s="99"/>
      <c r="D12" s="99"/>
      <c r="E12" s="100">
        <v>0</v>
      </c>
      <c r="F12" s="101">
        <v>0</v>
      </c>
      <c r="G12" s="101">
        <v>0</v>
      </c>
      <c r="H12" s="101">
        <v>0</v>
      </c>
      <c r="I12" s="102">
        <f t="shared" si="0"/>
        <v>0</v>
      </c>
      <c r="K12" s="99"/>
      <c r="L12" s="99"/>
      <c r="M12" s="100">
        <v>0</v>
      </c>
      <c r="N12" s="101">
        <v>0</v>
      </c>
      <c r="O12" s="101">
        <v>0</v>
      </c>
      <c r="P12" s="101">
        <v>0</v>
      </c>
      <c r="Q12" s="102">
        <f t="shared" si="1"/>
        <v>0</v>
      </c>
      <c r="S12" s="99"/>
      <c r="T12" s="99"/>
      <c r="U12" s="100">
        <v>0</v>
      </c>
      <c r="V12" s="101">
        <v>0</v>
      </c>
      <c r="W12" s="101">
        <v>0</v>
      </c>
      <c r="X12" s="101">
        <v>0</v>
      </c>
      <c r="Y12" s="102">
        <f t="shared" si="2"/>
        <v>0</v>
      </c>
    </row>
    <row r="13" spans="2:25" x14ac:dyDescent="0.25">
      <c r="B13" s="98" t="s">
        <v>506</v>
      </c>
      <c r="C13" s="99"/>
      <c r="D13" s="99"/>
      <c r="E13" s="100">
        <v>3822164.5078711389</v>
      </c>
      <c r="F13" s="101">
        <v>621644.43418131082</v>
      </c>
      <c r="G13" s="101">
        <v>0</v>
      </c>
      <c r="H13" s="101">
        <v>1884.8025986608689</v>
      </c>
      <c r="I13" s="102">
        <f t="shared" si="0"/>
        <v>4445693.7446511108</v>
      </c>
      <c r="K13" s="99"/>
      <c r="L13" s="99"/>
      <c r="M13" s="100">
        <v>3516479.6988964844</v>
      </c>
      <c r="N13" s="101">
        <v>605867.28305515053</v>
      </c>
      <c r="O13" s="101">
        <v>0</v>
      </c>
      <c r="P13" s="101">
        <v>1891.1269993141104</v>
      </c>
      <c r="Q13" s="102">
        <f t="shared" si="1"/>
        <v>4124238.1089509488</v>
      </c>
      <c r="S13" s="99"/>
      <c r="T13" s="99"/>
      <c r="U13" s="100">
        <v>3481755.6447624187</v>
      </c>
      <c r="V13" s="101">
        <v>600043.14151788992</v>
      </c>
      <c r="W13" s="101">
        <v>0</v>
      </c>
      <c r="X13" s="101">
        <v>2515.7797595788338</v>
      </c>
      <c r="Y13" s="102">
        <f t="shared" si="2"/>
        <v>4084314.5660398877</v>
      </c>
    </row>
    <row r="14" spans="2:25" x14ac:dyDescent="0.25">
      <c r="B14" s="98" t="s">
        <v>661</v>
      </c>
      <c r="C14" s="99"/>
      <c r="D14" s="99"/>
      <c r="E14" s="100">
        <v>534015.22231576056</v>
      </c>
      <c r="F14" s="101">
        <v>86853.297401787262</v>
      </c>
      <c r="G14" s="101">
        <v>0</v>
      </c>
      <c r="H14" s="101">
        <v>263.33593875210067</v>
      </c>
      <c r="I14" s="102">
        <f t="shared" si="0"/>
        <v>621131.85565629986</v>
      </c>
      <c r="K14" s="99"/>
      <c r="L14" s="99"/>
      <c r="M14" s="100">
        <v>433226.24532514322</v>
      </c>
      <c r="N14" s="101">
        <v>74642.150866304568</v>
      </c>
      <c r="O14" s="101">
        <v>0</v>
      </c>
      <c r="P14" s="101">
        <v>232.98466634201213</v>
      </c>
      <c r="Q14" s="102">
        <f t="shared" si="1"/>
        <v>508101.38085778983</v>
      </c>
      <c r="S14" s="99"/>
      <c r="T14" s="99"/>
      <c r="U14" s="100">
        <v>280828.68531317491</v>
      </c>
      <c r="V14" s="101">
        <v>48397.803796812623</v>
      </c>
      <c r="W14" s="101">
        <v>0</v>
      </c>
      <c r="X14" s="101">
        <v>202.91576850971921</v>
      </c>
      <c r="Y14" s="102">
        <f t="shared" si="2"/>
        <v>329429.40487849724</v>
      </c>
    </row>
    <row r="15" spans="2:25" x14ac:dyDescent="0.25">
      <c r="B15" s="98" t="s">
        <v>662</v>
      </c>
      <c r="C15" s="99"/>
      <c r="D15" s="99"/>
      <c r="E15" s="100">
        <v>370843.90438594489</v>
      </c>
      <c r="F15" s="101">
        <v>60314.789862352278</v>
      </c>
      <c r="G15" s="101">
        <v>0</v>
      </c>
      <c r="H15" s="101">
        <v>182.87217968895882</v>
      </c>
      <c r="I15" s="102">
        <f t="shared" si="0"/>
        <v>431341.56642798608</v>
      </c>
      <c r="K15" s="99"/>
      <c r="L15" s="99"/>
      <c r="M15" s="100">
        <v>314152.36503109802</v>
      </c>
      <c r="N15" s="101">
        <v>54126.471973226711</v>
      </c>
      <c r="O15" s="101">
        <v>0</v>
      </c>
      <c r="P15" s="101">
        <v>168.94794518368133</v>
      </c>
      <c r="Q15" s="102">
        <f t="shared" si="1"/>
        <v>368447.78494950838</v>
      </c>
      <c r="S15" s="99"/>
      <c r="T15" s="99"/>
      <c r="U15" s="100">
        <v>312031.87257019436</v>
      </c>
      <c r="V15" s="101">
        <v>53775.337552014033</v>
      </c>
      <c r="W15" s="101">
        <v>0</v>
      </c>
      <c r="X15" s="101">
        <v>225.46196501079913</v>
      </c>
      <c r="Y15" s="102">
        <f t="shared" si="2"/>
        <v>366032.67208721919</v>
      </c>
    </row>
    <row r="16" spans="2:25" x14ac:dyDescent="0.25">
      <c r="B16" s="98" t="s">
        <v>663</v>
      </c>
      <c r="C16" s="99"/>
      <c r="D16" s="99"/>
      <c r="E16" s="100">
        <v>296675.12350875593</v>
      </c>
      <c r="F16" s="101">
        <v>48251.831889881825</v>
      </c>
      <c r="G16" s="101">
        <v>0</v>
      </c>
      <c r="H16" s="101">
        <v>146.29774375116708</v>
      </c>
      <c r="I16" s="102">
        <f t="shared" si="0"/>
        <v>345073.25314238889</v>
      </c>
      <c r="K16" s="99"/>
      <c r="L16" s="99"/>
      <c r="M16" s="100">
        <v>268549.60236529348</v>
      </c>
      <c r="N16" s="101">
        <v>46269.403460984118</v>
      </c>
      <c r="O16" s="101">
        <v>0</v>
      </c>
      <c r="P16" s="101">
        <v>144.42324346346953</v>
      </c>
      <c r="Q16" s="102">
        <f t="shared" si="1"/>
        <v>314963.42906974105</v>
      </c>
      <c r="S16" s="99"/>
      <c r="T16" s="99"/>
      <c r="U16" s="100">
        <v>234023.90442764579</v>
      </c>
      <c r="V16" s="101">
        <v>40331.503164010523</v>
      </c>
      <c r="W16" s="101">
        <v>0</v>
      </c>
      <c r="X16" s="101">
        <v>169.09647375809936</v>
      </c>
      <c r="Y16" s="102">
        <f t="shared" si="2"/>
        <v>274524.50406541442</v>
      </c>
    </row>
    <row r="17" spans="2:25" x14ac:dyDescent="0.25">
      <c r="B17" s="98" t="s">
        <v>664</v>
      </c>
      <c r="C17" s="99"/>
      <c r="D17" s="99"/>
      <c r="E17" s="100">
        <v>593350.24701751187</v>
      </c>
      <c r="F17" s="101">
        <v>96503.66377976365</v>
      </c>
      <c r="G17" s="101">
        <v>0</v>
      </c>
      <c r="H17" s="101">
        <v>292.59548750233415</v>
      </c>
      <c r="I17" s="102">
        <f t="shared" si="0"/>
        <v>690146.50628477777</v>
      </c>
      <c r="K17" s="99"/>
      <c r="L17" s="99"/>
      <c r="M17" s="100">
        <v>532032.23110105307</v>
      </c>
      <c r="N17" s="101">
        <v>91665.799309496841</v>
      </c>
      <c r="O17" s="101">
        <v>0</v>
      </c>
      <c r="P17" s="101">
        <v>286.12152006913772</v>
      </c>
      <c r="Q17" s="102">
        <f t="shared" si="1"/>
        <v>623984.15193061915</v>
      </c>
      <c r="S17" s="99"/>
      <c r="T17" s="99"/>
      <c r="U17" s="100">
        <v>702071.7132829373</v>
      </c>
      <c r="V17" s="101">
        <v>120994.50949203156</v>
      </c>
      <c r="W17" s="101">
        <v>0</v>
      </c>
      <c r="X17" s="101">
        <v>507.28942127429804</v>
      </c>
      <c r="Y17" s="102">
        <f t="shared" si="2"/>
        <v>823573.51219624316</v>
      </c>
    </row>
    <row r="18" spans="2:25" x14ac:dyDescent="0.25">
      <c r="B18" s="98" t="s">
        <v>665</v>
      </c>
      <c r="C18" s="99"/>
      <c r="D18" s="99"/>
      <c r="E18" s="100">
        <v>778772.19921048428</v>
      </c>
      <c r="F18" s="101">
        <v>126661.05871093977</v>
      </c>
      <c r="G18" s="101">
        <v>0</v>
      </c>
      <c r="H18" s="101">
        <v>384.03157734681355</v>
      </c>
      <c r="I18" s="102">
        <f t="shared" si="0"/>
        <v>905817.28949877084</v>
      </c>
      <c r="K18" s="99"/>
      <c r="L18" s="99"/>
      <c r="M18" s="100">
        <v>912055.25331609102</v>
      </c>
      <c r="N18" s="101">
        <v>157141.37024485174</v>
      </c>
      <c r="O18" s="101">
        <v>0</v>
      </c>
      <c r="P18" s="101">
        <v>490.49403440423612</v>
      </c>
      <c r="Q18" s="102">
        <f t="shared" si="1"/>
        <v>1069687.1175953469</v>
      </c>
      <c r="S18" s="99"/>
      <c r="T18" s="99"/>
      <c r="U18" s="100">
        <v>1242926.9590712741</v>
      </c>
      <c r="V18" s="101">
        <v>214205.09458218919</v>
      </c>
      <c r="W18" s="101">
        <v>0</v>
      </c>
      <c r="X18" s="101">
        <v>898.09016062634976</v>
      </c>
      <c r="Y18" s="102">
        <f t="shared" si="2"/>
        <v>1458030.1438140897</v>
      </c>
    </row>
    <row r="19" spans="2:25" x14ac:dyDescent="0.25">
      <c r="B19" s="98" t="s">
        <v>666</v>
      </c>
      <c r="C19" s="99"/>
      <c r="D19" s="99"/>
      <c r="E19" s="100">
        <v>74168.780877188983</v>
      </c>
      <c r="F19" s="101">
        <v>12062.957972470456</v>
      </c>
      <c r="G19" s="101">
        <v>0</v>
      </c>
      <c r="H19" s="101">
        <v>36.574435937791769</v>
      </c>
      <c r="I19" s="102">
        <f t="shared" si="0"/>
        <v>86268.313285597222</v>
      </c>
      <c r="K19" s="99"/>
      <c r="L19" s="99"/>
      <c r="M19" s="100">
        <v>76004.604443007571</v>
      </c>
      <c r="N19" s="101">
        <v>13095.114187070976</v>
      </c>
      <c r="O19" s="101">
        <v>0</v>
      </c>
      <c r="P19" s="101">
        <v>40.874502867019672</v>
      </c>
      <c r="Q19" s="102">
        <f t="shared" si="1"/>
        <v>89140.593132945563</v>
      </c>
      <c r="S19" s="99"/>
      <c r="T19" s="99"/>
      <c r="U19" s="100">
        <v>111811.42100431965</v>
      </c>
      <c r="V19" s="101">
        <v>19269.495956138358</v>
      </c>
      <c r="W19" s="101">
        <v>0</v>
      </c>
      <c r="X19" s="101">
        <v>80.790537462203019</v>
      </c>
      <c r="Y19" s="102">
        <f t="shared" si="2"/>
        <v>131161.7074979202</v>
      </c>
    </row>
    <row r="20" spans="2:25" x14ac:dyDescent="0.25">
      <c r="B20" s="98" t="s">
        <v>667</v>
      </c>
      <c r="C20" s="99"/>
      <c r="D20" s="99"/>
      <c r="E20" s="100">
        <v>0</v>
      </c>
      <c r="F20" s="101">
        <v>0</v>
      </c>
      <c r="G20" s="101">
        <v>0</v>
      </c>
      <c r="H20" s="101">
        <v>0</v>
      </c>
      <c r="I20" s="102">
        <f t="shared" si="0"/>
        <v>0</v>
      </c>
      <c r="K20" s="99"/>
      <c r="L20" s="99"/>
      <c r="M20" s="100">
        <v>0</v>
      </c>
      <c r="N20" s="101">
        <v>0</v>
      </c>
      <c r="O20" s="101">
        <v>0</v>
      </c>
      <c r="P20" s="101">
        <v>0</v>
      </c>
      <c r="Q20" s="102">
        <f t="shared" si="1"/>
        <v>0</v>
      </c>
      <c r="S20" s="99"/>
      <c r="T20" s="99"/>
      <c r="U20" s="100">
        <v>0</v>
      </c>
      <c r="V20" s="101">
        <v>0</v>
      </c>
      <c r="W20" s="101">
        <v>0</v>
      </c>
      <c r="X20" s="101">
        <v>0</v>
      </c>
      <c r="Y20" s="102">
        <f t="shared" si="2"/>
        <v>0</v>
      </c>
    </row>
    <row r="21" spans="2:25" x14ac:dyDescent="0.25">
      <c r="B21" s="98" t="s">
        <v>668</v>
      </c>
      <c r="C21" s="99"/>
      <c r="D21" s="99"/>
      <c r="E21" s="100">
        <v>0</v>
      </c>
      <c r="F21" s="101">
        <v>0</v>
      </c>
      <c r="G21" s="101">
        <v>0</v>
      </c>
      <c r="H21" s="101">
        <v>0</v>
      </c>
      <c r="I21" s="102">
        <f t="shared" si="0"/>
        <v>0</v>
      </c>
      <c r="K21" s="99"/>
      <c r="L21" s="99"/>
      <c r="M21" s="100">
        <v>0</v>
      </c>
      <c r="N21" s="101">
        <v>0</v>
      </c>
      <c r="O21" s="101">
        <v>0</v>
      </c>
      <c r="P21" s="101">
        <v>0</v>
      </c>
      <c r="Q21" s="102">
        <f t="shared" si="1"/>
        <v>0</v>
      </c>
      <c r="S21" s="99"/>
      <c r="T21" s="99"/>
      <c r="U21" s="100">
        <v>0</v>
      </c>
      <c r="V21" s="101">
        <v>0</v>
      </c>
      <c r="W21" s="101">
        <v>0</v>
      </c>
      <c r="X21" s="101">
        <v>0</v>
      </c>
      <c r="Y21" s="102">
        <f t="shared" si="2"/>
        <v>0</v>
      </c>
    </row>
    <row r="22" spans="2:25" x14ac:dyDescent="0.25">
      <c r="B22" s="98" t="s">
        <v>669</v>
      </c>
      <c r="C22" s="99"/>
      <c r="D22" s="99"/>
      <c r="E22" s="100">
        <v>370843.90438594489</v>
      </c>
      <c r="F22" s="103">
        <v>60314.789862352278</v>
      </c>
      <c r="G22" s="101">
        <v>0</v>
      </c>
      <c r="H22" s="103">
        <v>182.87217968895882</v>
      </c>
      <c r="I22" s="102">
        <f t="shared" si="0"/>
        <v>431341.56642798608</v>
      </c>
      <c r="K22" s="99"/>
      <c r="L22" s="99"/>
      <c r="M22" s="100">
        <v>0</v>
      </c>
      <c r="N22" s="101">
        <v>0</v>
      </c>
      <c r="O22" s="101">
        <v>0</v>
      </c>
      <c r="P22" s="101">
        <v>0</v>
      </c>
      <c r="Q22" s="102">
        <f t="shared" si="1"/>
        <v>0</v>
      </c>
      <c r="S22" s="99"/>
      <c r="T22" s="99"/>
      <c r="U22" s="100">
        <v>0</v>
      </c>
      <c r="V22" s="101">
        <v>0</v>
      </c>
      <c r="W22" s="101">
        <v>0</v>
      </c>
      <c r="X22" s="101">
        <v>0</v>
      </c>
      <c r="Y22" s="102">
        <f t="shared" si="2"/>
        <v>0</v>
      </c>
    </row>
    <row r="23" spans="2:25" x14ac:dyDescent="0.25">
      <c r="B23" s="104"/>
      <c r="C23" s="104"/>
      <c r="D23" s="104"/>
      <c r="E23" s="105">
        <f>SUM(E4:E22)</f>
        <v>92678836.291439429</v>
      </c>
      <c r="F23" s="105">
        <f t="shared" ref="F23:I23" si="3">SUM(F4:F22)</f>
        <v>15073470.183800001</v>
      </c>
      <c r="G23" s="101">
        <v>0</v>
      </c>
      <c r="H23" s="105">
        <f t="shared" si="3"/>
        <v>45702.195999999989</v>
      </c>
      <c r="I23" s="105">
        <f t="shared" si="3"/>
        <v>107798008.67123944</v>
      </c>
      <c r="K23" s="104"/>
      <c r="L23" s="104"/>
      <c r="M23" s="105">
        <f>SUM(M4:M22)</f>
        <v>92343060.911439449</v>
      </c>
      <c r="N23" s="105">
        <f t="shared" ref="N23" si="4">SUM(N4:N22)</f>
        <v>15910127.233485004</v>
      </c>
      <c r="O23" s="101">
        <v>0</v>
      </c>
      <c r="P23" s="105">
        <f t="shared" ref="P23:Q23" si="5">SUM(P4:P22)</f>
        <v>49661.158499999998</v>
      </c>
      <c r="Q23" s="105">
        <f t="shared" si="5"/>
        <v>108302849.30342445</v>
      </c>
      <c r="S23" s="104"/>
      <c r="T23" s="104"/>
      <c r="U23" s="105">
        <f>SUM(U4:U22)</f>
        <v>96313838.000000015</v>
      </c>
      <c r="V23" s="105">
        <f t="shared" ref="V23" si="6">SUM(V4:V22)</f>
        <v>16598654.191054996</v>
      </c>
      <c r="W23" s="101">
        <v>0</v>
      </c>
      <c r="X23" s="105">
        <f t="shared" ref="X23:Y23" si="7">SUM(X4:X22)</f>
        <v>69592.593199999974</v>
      </c>
      <c r="Y23" s="105">
        <f t="shared" si="7"/>
        <v>112982084.78425497</v>
      </c>
    </row>
    <row r="24" spans="2:25" x14ac:dyDescent="0.25">
      <c r="B24" s="104"/>
      <c r="C24" s="104"/>
      <c r="D24" s="104"/>
      <c r="E24" s="104"/>
      <c r="F24" s="104"/>
      <c r="G24" s="104"/>
      <c r="H24" s="104"/>
      <c r="I24" s="104"/>
      <c r="K24" s="104"/>
      <c r="L24" s="104"/>
      <c r="M24" s="104"/>
      <c r="N24" s="104"/>
      <c r="O24" s="104"/>
      <c r="P24" s="104"/>
      <c r="Q24" s="104"/>
      <c r="S24" s="104"/>
      <c r="T24" s="104"/>
      <c r="U24" s="104"/>
      <c r="V24" s="104"/>
      <c r="W24" s="104"/>
      <c r="X24" s="104"/>
      <c r="Y24" s="104"/>
    </row>
    <row r="25" spans="2:25" x14ac:dyDescent="0.25">
      <c r="B25" s="106" t="s">
        <v>670</v>
      </c>
      <c r="C25" s="96" t="s">
        <v>646</v>
      </c>
      <c r="D25" s="96" t="s">
        <v>647</v>
      </c>
      <c r="E25" s="97" t="s">
        <v>648</v>
      </c>
      <c r="F25" s="96" t="s">
        <v>649</v>
      </c>
      <c r="G25" s="96" t="s">
        <v>650</v>
      </c>
      <c r="H25" s="96" t="s">
        <v>651</v>
      </c>
      <c r="I25" s="96" t="s">
        <v>652</v>
      </c>
      <c r="K25" s="96" t="s">
        <v>646</v>
      </c>
      <c r="L25" s="96" t="s">
        <v>647</v>
      </c>
      <c r="M25" s="97" t="s">
        <v>648</v>
      </c>
      <c r="N25" s="96" t="s">
        <v>649</v>
      </c>
      <c r="O25" s="96" t="s">
        <v>650</v>
      </c>
      <c r="P25" s="96" t="s">
        <v>651</v>
      </c>
      <c r="Q25" s="96" t="s">
        <v>652</v>
      </c>
      <c r="S25" s="96" t="s">
        <v>646</v>
      </c>
      <c r="T25" s="96" t="s">
        <v>647</v>
      </c>
      <c r="U25" s="97" t="s">
        <v>648</v>
      </c>
      <c r="V25" s="96" t="s">
        <v>649</v>
      </c>
      <c r="W25" s="96" t="s">
        <v>650</v>
      </c>
      <c r="X25" s="96" t="s">
        <v>651</v>
      </c>
      <c r="Y25" s="96" t="s">
        <v>652</v>
      </c>
    </row>
    <row r="26" spans="2:25" x14ac:dyDescent="0.25">
      <c r="B26" s="98" t="s">
        <v>653</v>
      </c>
      <c r="C26" s="107">
        <v>600.83333333333337</v>
      </c>
      <c r="D26" s="108">
        <f>+C26/$C$45</f>
        <v>0.49534199895572839</v>
      </c>
      <c r="E26" s="109">
        <v>396261993.12894231</v>
      </c>
      <c r="F26" s="109">
        <v>74969930.514913499</v>
      </c>
      <c r="G26" s="109">
        <v>140352762.90225068</v>
      </c>
      <c r="H26" s="109">
        <v>21593822.570199996</v>
      </c>
      <c r="I26" s="102">
        <f>SUM(E26:H26)</f>
        <v>633178509.11630642</v>
      </c>
      <c r="K26" s="107">
        <v>600.83333333333337</v>
      </c>
      <c r="L26" s="108">
        <v>0.49493396304126969</v>
      </c>
      <c r="M26" s="109">
        <v>396257042.07175267</v>
      </c>
      <c r="N26" s="109">
        <v>74969166.596964002</v>
      </c>
      <c r="O26" s="109">
        <v>130514905.66462561</v>
      </c>
      <c r="P26" s="109">
        <v>21593822.570199996</v>
      </c>
      <c r="Q26" s="102">
        <f>SUM(M26:P26)</f>
        <v>623334936.90354228</v>
      </c>
      <c r="S26" s="107">
        <v>615.86666666666656</v>
      </c>
      <c r="T26" s="108">
        <v>0.49881209503239732</v>
      </c>
      <c r="U26" s="109">
        <v>431795494.93961126</v>
      </c>
      <c r="V26" s="109">
        <v>81962328.552642256</v>
      </c>
      <c r="W26" s="109">
        <v>135685425.61615655</v>
      </c>
      <c r="X26" s="109">
        <v>35173438.788999975</v>
      </c>
      <c r="Y26" s="102">
        <f>SUM(U26:X26)</f>
        <v>684616687.89741015</v>
      </c>
    </row>
    <row r="27" spans="2:25" x14ac:dyDescent="0.25">
      <c r="B27" s="98" t="s">
        <v>654</v>
      </c>
      <c r="C27" s="107">
        <v>231.1333333333333</v>
      </c>
      <c r="D27" s="108">
        <f t="shared" ref="D27:D44" si="8">+C27/$C$45</f>
        <v>0.19055208991728267</v>
      </c>
      <c r="E27" s="109">
        <v>176729292.68404278</v>
      </c>
      <c r="F27" s="109">
        <v>31702977.169701423</v>
      </c>
      <c r="G27" s="109">
        <v>53992014.311467744</v>
      </c>
      <c r="H27" s="109">
        <v>9416207.511900004</v>
      </c>
      <c r="I27" s="102">
        <f t="shared" ref="I27:I44" si="9">SUM(E27:H27)</f>
        <v>271840491.67711192</v>
      </c>
      <c r="K27" s="107">
        <v>232.1333333333333</v>
      </c>
      <c r="L27" s="108">
        <v>0.19121886927153406</v>
      </c>
      <c r="M27" s="109">
        <v>176740399.76769865</v>
      </c>
      <c r="N27" s="109">
        <v>31704711.205611423</v>
      </c>
      <c r="O27" s="109">
        <v>50424732.485351048</v>
      </c>
      <c r="P27" s="109">
        <v>9416207.511900004</v>
      </c>
      <c r="Q27" s="102">
        <f t="shared" ref="Q27:Q44" si="10">SUM(M27:P27)</f>
        <v>268286050.97056112</v>
      </c>
      <c r="S27" s="107">
        <v>228.76666666666665</v>
      </c>
      <c r="T27" s="108">
        <v>0.18528617710583151</v>
      </c>
      <c r="U27" s="109">
        <v>187835770.5469811</v>
      </c>
      <c r="V27" s="109">
        <v>31627514.997601043</v>
      </c>
      <c r="W27" s="109">
        <v>50401010.825053178</v>
      </c>
      <c r="X27" s="109">
        <v>13809520.006750001</v>
      </c>
      <c r="Y27" s="102">
        <f t="shared" ref="Y27:Y44" si="11">SUM(U27:X27)</f>
        <v>283673816.37638527</v>
      </c>
    </row>
    <row r="28" spans="2:25" x14ac:dyDescent="0.25">
      <c r="B28" s="98" t="s">
        <v>655</v>
      </c>
      <c r="C28" s="107">
        <v>62.800000000000004</v>
      </c>
      <c r="D28" s="108">
        <f t="shared" si="8"/>
        <v>5.1773887713319963E-2</v>
      </c>
      <c r="E28" s="109">
        <v>50346913.758511722</v>
      </c>
      <c r="F28" s="109">
        <v>8958868.2251384612</v>
      </c>
      <c r="G28" s="109">
        <v>14669881.015691556</v>
      </c>
      <c r="H28" s="109">
        <v>2809676.6111999983</v>
      </c>
      <c r="I28" s="102">
        <f t="shared" si="9"/>
        <v>76785339.610541746</v>
      </c>
      <c r="K28" s="107">
        <v>62.800000000000004</v>
      </c>
      <c r="L28" s="108">
        <v>5.1731239188335762E-2</v>
      </c>
      <c r="M28" s="109">
        <v>50407212.55897747</v>
      </c>
      <c r="N28" s="109">
        <v>8968091.5317824483</v>
      </c>
      <c r="O28" s="109">
        <v>13641613.440896235</v>
      </c>
      <c r="P28" s="109">
        <v>2809676.6111999983</v>
      </c>
      <c r="Q28" s="102">
        <f t="shared" si="10"/>
        <v>75826594.142856151</v>
      </c>
      <c r="S28" s="107">
        <v>60</v>
      </c>
      <c r="T28" s="108">
        <v>4.8596112311015113E-2</v>
      </c>
      <c r="U28" s="109">
        <v>55028719.852948092</v>
      </c>
      <c r="V28" s="109">
        <v>9360323.5479949042</v>
      </c>
      <c r="W28" s="109">
        <v>13218974.134503238</v>
      </c>
      <c r="X28" s="109">
        <v>3971877.4991000001</v>
      </c>
      <c r="Y28" s="102">
        <f t="shared" si="11"/>
        <v>81579895.034546226</v>
      </c>
    </row>
    <row r="29" spans="2:25" x14ac:dyDescent="0.25">
      <c r="B29" s="98" t="s">
        <v>490</v>
      </c>
      <c r="C29" s="107">
        <v>173</v>
      </c>
      <c r="D29" s="108">
        <f t="shared" si="8"/>
        <v>0.14262551870070625</v>
      </c>
      <c r="E29" s="109">
        <v>93246734.539539829</v>
      </c>
      <c r="F29" s="109">
        <v>17048713.798661735</v>
      </c>
      <c r="G29" s="109">
        <v>40412251.842589788</v>
      </c>
      <c r="H29" s="109">
        <v>5402316.3535000039</v>
      </c>
      <c r="I29" s="102">
        <f t="shared" si="9"/>
        <v>156110016.53429136</v>
      </c>
      <c r="K29" s="107">
        <v>173</v>
      </c>
      <c r="L29" s="108">
        <v>0.14250803152200775</v>
      </c>
      <c r="M29" s="109">
        <v>93241958.01665163</v>
      </c>
      <c r="N29" s="109">
        <v>17047955.193681642</v>
      </c>
      <c r="O29" s="109">
        <v>37579603.905653641</v>
      </c>
      <c r="P29" s="109">
        <v>5402316.3535000039</v>
      </c>
      <c r="Q29" s="102">
        <f t="shared" si="10"/>
        <v>153271833.46948692</v>
      </c>
      <c r="S29" s="107">
        <v>185</v>
      </c>
      <c r="T29" s="108">
        <v>0.14983801295896326</v>
      </c>
      <c r="U29" s="109">
        <v>99317668.460905328</v>
      </c>
      <c r="V29" s="109">
        <v>16872198.472727682</v>
      </c>
      <c r="W29" s="109">
        <v>40758503.581384987</v>
      </c>
      <c r="X29" s="109">
        <v>8041605.2548000021</v>
      </c>
      <c r="Y29" s="102">
        <f t="shared" si="11"/>
        <v>164989975.76981798</v>
      </c>
    </row>
    <row r="30" spans="2:25" x14ac:dyDescent="0.25">
      <c r="B30" s="98" t="s">
        <v>656</v>
      </c>
      <c r="C30" s="107">
        <v>10.3</v>
      </c>
      <c r="D30" s="108">
        <f t="shared" si="8"/>
        <v>8.4915771249553448E-3</v>
      </c>
      <c r="E30" s="109">
        <v>10940242.843019914</v>
      </c>
      <c r="F30" s="109">
        <v>1784469.8308731925</v>
      </c>
      <c r="G30" s="109">
        <v>2406047.3640385834</v>
      </c>
      <c r="H30" s="109">
        <v>529790.71385000006</v>
      </c>
      <c r="I30" s="102">
        <f t="shared" si="9"/>
        <v>15660550.751781691</v>
      </c>
      <c r="K30" s="107">
        <v>10.3</v>
      </c>
      <c r="L30" s="108">
        <v>8.4845822235646226E-3</v>
      </c>
      <c r="M30" s="109">
        <v>10381761.027444201</v>
      </c>
      <c r="N30" s="109">
        <v>1696619.8169459566</v>
      </c>
      <c r="O30" s="109">
        <v>2237398.3828221532</v>
      </c>
      <c r="P30" s="109">
        <v>529790.71385000006</v>
      </c>
      <c r="Q30" s="102">
        <f t="shared" si="10"/>
        <v>14845569.941062311</v>
      </c>
      <c r="S30" s="107">
        <v>10</v>
      </c>
      <c r="T30" s="108">
        <v>8.0993520518358522E-3</v>
      </c>
      <c r="U30" s="109">
        <v>10268928.860399118</v>
      </c>
      <c r="V30" s="109">
        <v>1671945.0803012992</v>
      </c>
      <c r="W30" s="109">
        <v>2203162.3557505398</v>
      </c>
      <c r="X30" s="109">
        <v>697250.22525000002</v>
      </c>
      <c r="Y30" s="102">
        <f t="shared" si="11"/>
        <v>14841286.521700958</v>
      </c>
    </row>
    <row r="31" spans="2:25" x14ac:dyDescent="0.25">
      <c r="B31" s="98" t="s">
        <v>657</v>
      </c>
      <c r="C31" s="107">
        <v>21.933333333333334</v>
      </c>
      <c r="D31" s="108">
        <f t="shared" si="8"/>
        <v>1.8082387534694551E-2</v>
      </c>
      <c r="E31" s="109">
        <v>18928238.861435149</v>
      </c>
      <c r="F31" s="109">
        <v>3383452.2770880931</v>
      </c>
      <c r="G31" s="109">
        <v>5123557.1700239088</v>
      </c>
      <c r="H31" s="109">
        <v>1040107.9703499998</v>
      </c>
      <c r="I31" s="102">
        <f t="shared" si="9"/>
        <v>28475356.278897155</v>
      </c>
      <c r="K31" s="107">
        <v>21.933333333333334</v>
      </c>
      <c r="L31" s="108">
        <v>1.8067492243059941E-2</v>
      </c>
      <c r="M31" s="109">
        <v>18745150.69366879</v>
      </c>
      <c r="N31" s="109">
        <v>3401755.6661940152</v>
      </c>
      <c r="O31" s="109">
        <v>4764427.624262061</v>
      </c>
      <c r="P31" s="109">
        <v>1040107.9703499998</v>
      </c>
      <c r="Q31" s="102">
        <f t="shared" si="10"/>
        <v>27951441.954474866</v>
      </c>
      <c r="S31" s="107">
        <v>20.666666666666664</v>
      </c>
      <c r="T31" s="108">
        <v>1.6738660907127428E-2</v>
      </c>
      <c r="U31" s="109">
        <v>18881185.971916039</v>
      </c>
      <c r="V31" s="109">
        <v>3299227.2437873348</v>
      </c>
      <c r="W31" s="109">
        <v>4553202.2018844485</v>
      </c>
      <c r="X31" s="109">
        <v>1553200.1789000002</v>
      </c>
      <c r="Y31" s="102">
        <f t="shared" si="11"/>
        <v>28286815.59648782</v>
      </c>
    </row>
    <row r="32" spans="2:25" x14ac:dyDescent="0.25">
      <c r="B32" s="98" t="s">
        <v>658</v>
      </c>
      <c r="C32" s="107">
        <v>10.466666666666667</v>
      </c>
      <c r="D32" s="108">
        <f t="shared" si="8"/>
        <v>8.6289812855533266E-3</v>
      </c>
      <c r="E32" s="109">
        <v>7929973.0980893699</v>
      </c>
      <c r="F32" s="109">
        <v>1439830.145099089</v>
      </c>
      <c r="G32" s="109">
        <v>2444980.169281926</v>
      </c>
      <c r="H32" s="109">
        <v>407037.13150000002</v>
      </c>
      <c r="I32" s="102">
        <f t="shared" si="9"/>
        <v>12221820.543970386</v>
      </c>
      <c r="K32" s="107">
        <v>10.466666666666667</v>
      </c>
      <c r="L32" s="108">
        <v>8.6218731980559592E-3</v>
      </c>
      <c r="M32" s="109">
        <v>7745952.591133805</v>
      </c>
      <c r="N32" s="109">
        <v>1408586.3680430185</v>
      </c>
      <c r="O32" s="109">
        <v>2273602.2401493723</v>
      </c>
      <c r="P32" s="109">
        <v>407037.13150000002</v>
      </c>
      <c r="Q32" s="102">
        <f t="shared" si="10"/>
        <v>11835178.330826195</v>
      </c>
      <c r="S32" s="107">
        <v>10</v>
      </c>
      <c r="T32" s="108">
        <v>8.0993520518358522E-3</v>
      </c>
      <c r="U32" s="109">
        <v>7757200.1171351233</v>
      </c>
      <c r="V32" s="109">
        <v>1329433.8146382482</v>
      </c>
      <c r="W32" s="109">
        <v>2203162.3557505398</v>
      </c>
      <c r="X32" s="109">
        <v>555789.29110000015</v>
      </c>
      <c r="Y32" s="102">
        <f t="shared" si="11"/>
        <v>11845585.578623913</v>
      </c>
    </row>
    <row r="33" spans="2:25" x14ac:dyDescent="0.25">
      <c r="B33" s="98" t="s">
        <v>659</v>
      </c>
      <c r="C33" s="107">
        <v>22.866666666666667</v>
      </c>
      <c r="D33" s="108">
        <f t="shared" si="8"/>
        <v>1.8851850834043254E-2</v>
      </c>
      <c r="E33" s="109">
        <v>17428329.729626775</v>
      </c>
      <c r="F33" s="109">
        <v>3177022.0835337443</v>
      </c>
      <c r="G33" s="109">
        <v>5341580.879386628</v>
      </c>
      <c r="H33" s="109">
        <v>956984.83924999996</v>
      </c>
      <c r="I33" s="102">
        <f t="shared" si="9"/>
        <v>26903917.531797148</v>
      </c>
      <c r="K33" s="107">
        <v>22.866666666666667</v>
      </c>
      <c r="L33" s="108">
        <v>1.8836321700211427E-2</v>
      </c>
      <c r="M33" s="109">
        <v>18719704.874797899</v>
      </c>
      <c r="N33" s="109">
        <v>3374701.1484811949</v>
      </c>
      <c r="O33" s="109">
        <v>4967169.2252944885</v>
      </c>
      <c r="P33" s="109">
        <v>956984.83924999996</v>
      </c>
      <c r="Q33" s="102">
        <f t="shared" si="10"/>
        <v>28018560.087823581</v>
      </c>
      <c r="S33" s="107">
        <v>22.766666666666666</v>
      </c>
      <c r="T33" s="108">
        <v>1.8439524838012956E-2</v>
      </c>
      <c r="U33" s="109">
        <v>21357747.737698264</v>
      </c>
      <c r="V33" s="109">
        <v>3748008.3151643048</v>
      </c>
      <c r="W33" s="109">
        <v>5015866.2965920623</v>
      </c>
      <c r="X33" s="109">
        <v>1489304.2343499996</v>
      </c>
      <c r="Y33" s="102">
        <f t="shared" si="11"/>
        <v>31610926.583804633</v>
      </c>
    </row>
    <row r="34" spans="2:25" x14ac:dyDescent="0.25">
      <c r="B34" s="98" t="s">
        <v>660</v>
      </c>
      <c r="C34" s="107">
        <v>0</v>
      </c>
      <c r="D34" s="108">
        <f t="shared" si="8"/>
        <v>0</v>
      </c>
      <c r="E34" s="109">
        <v>0</v>
      </c>
      <c r="F34" s="109">
        <v>0</v>
      </c>
      <c r="G34" s="109">
        <v>0</v>
      </c>
      <c r="H34" s="109">
        <v>0</v>
      </c>
      <c r="I34" s="102">
        <f t="shared" si="9"/>
        <v>0</v>
      </c>
      <c r="K34" s="107">
        <v>0</v>
      </c>
      <c r="L34" s="108">
        <v>0</v>
      </c>
      <c r="M34" s="109">
        <v>0</v>
      </c>
      <c r="N34" s="109">
        <v>0</v>
      </c>
      <c r="O34" s="109">
        <v>0</v>
      </c>
      <c r="P34" s="109">
        <v>0</v>
      </c>
      <c r="Q34" s="102">
        <f t="shared" si="10"/>
        <v>0</v>
      </c>
      <c r="S34" s="107">
        <v>0</v>
      </c>
      <c r="T34" s="108">
        <v>0</v>
      </c>
      <c r="U34" s="109">
        <v>0</v>
      </c>
      <c r="V34" s="109">
        <v>0</v>
      </c>
      <c r="W34" s="109">
        <v>0</v>
      </c>
      <c r="X34" s="109">
        <v>0</v>
      </c>
      <c r="Y34" s="102">
        <f t="shared" si="11"/>
        <v>0</v>
      </c>
    </row>
    <row r="35" spans="2:25" x14ac:dyDescent="0.25">
      <c r="B35" s="98" t="s">
        <v>506</v>
      </c>
      <c r="C35" s="107">
        <v>46.266666666666673</v>
      </c>
      <c r="D35" s="108">
        <f t="shared" si="8"/>
        <v>3.8143394982000062E-2</v>
      </c>
      <c r="E35" s="109">
        <v>51198697.104033157</v>
      </c>
      <c r="F35" s="109">
        <v>10129962.456554487</v>
      </c>
      <c r="G35" s="109">
        <v>10807746.735551955</v>
      </c>
      <c r="H35" s="109">
        <v>2428231.4430000009</v>
      </c>
      <c r="I35" s="102">
        <f t="shared" si="9"/>
        <v>74564637.739139602</v>
      </c>
      <c r="K35" s="107">
        <v>46.266666666666673</v>
      </c>
      <c r="L35" s="108">
        <v>3.8111974518795139E-2</v>
      </c>
      <c r="M35" s="109">
        <v>52012663.563353509</v>
      </c>
      <c r="N35" s="109">
        <v>10254544.586693987</v>
      </c>
      <c r="O35" s="109">
        <v>10050190.794036081</v>
      </c>
      <c r="P35" s="109">
        <v>2428231.4430000009</v>
      </c>
      <c r="Q35" s="102">
        <f t="shared" si="10"/>
        <v>74745630.387083575</v>
      </c>
      <c r="S35" s="107">
        <v>44.633333333333333</v>
      </c>
      <c r="T35" s="108">
        <v>3.6150107991360689E-2</v>
      </c>
      <c r="U35" s="109">
        <v>51665892.16660367</v>
      </c>
      <c r="V35" s="109">
        <v>9998151.5529694408</v>
      </c>
      <c r="W35" s="109">
        <v>9833447.9811665751</v>
      </c>
      <c r="X35" s="109">
        <v>4079462.4732499998</v>
      </c>
      <c r="Y35" s="102">
        <f t="shared" si="11"/>
        <v>75576954.173989683</v>
      </c>
    </row>
    <row r="36" spans="2:25" x14ac:dyDescent="0.25">
      <c r="B36" s="98" t="s">
        <v>661</v>
      </c>
      <c r="C36" s="107">
        <v>5.7</v>
      </c>
      <c r="D36" s="108">
        <f t="shared" si="8"/>
        <v>4.6992222924510151E-3</v>
      </c>
      <c r="E36" s="109">
        <v>3713384.4005930363</v>
      </c>
      <c r="F36" s="109">
        <v>734601.23786110897</v>
      </c>
      <c r="G36" s="109">
        <v>1331501.9393223226</v>
      </c>
      <c r="H36" s="109">
        <v>415357.29710000008</v>
      </c>
      <c r="I36" s="102">
        <f t="shared" si="9"/>
        <v>6194844.8748764675</v>
      </c>
      <c r="K36" s="107">
        <v>5.7</v>
      </c>
      <c r="L36" s="108">
        <v>4.6953513276037232E-3</v>
      </c>
      <c r="M36" s="109">
        <v>3713337.4307855791</v>
      </c>
      <c r="N36" s="109">
        <v>734593.99070608185</v>
      </c>
      <c r="O36" s="109">
        <v>1238171.9205909004</v>
      </c>
      <c r="P36" s="109">
        <v>415357.29710000008</v>
      </c>
      <c r="Q36" s="102">
        <f t="shared" si="10"/>
        <v>6101460.639182562</v>
      </c>
      <c r="S36" s="107">
        <v>3.6</v>
      </c>
      <c r="T36" s="108">
        <v>2.9157667386609069E-3</v>
      </c>
      <c r="U36" s="109">
        <v>2387452.8491360694</v>
      </c>
      <c r="V36" s="109">
        <v>455335.84682095941</v>
      </c>
      <c r="W36" s="109">
        <v>793138.44807019434</v>
      </c>
      <c r="X36" s="109">
        <v>262436.60430000001</v>
      </c>
      <c r="Y36" s="102">
        <f t="shared" si="11"/>
        <v>3898363.7483272227</v>
      </c>
    </row>
    <row r="37" spans="2:25" x14ac:dyDescent="0.25">
      <c r="B37" s="98" t="s">
        <v>662</v>
      </c>
      <c r="C37" s="107">
        <v>4.1333333333333337</v>
      </c>
      <c r="D37" s="108">
        <f t="shared" si="8"/>
        <v>3.4076231828299762E-3</v>
      </c>
      <c r="E37" s="109">
        <v>3065414.1369576352</v>
      </c>
      <c r="F37" s="109">
        <v>567086.56462521618</v>
      </c>
      <c r="G37" s="109">
        <v>965533.57003490068</v>
      </c>
      <c r="H37" s="109">
        <v>187311.42905000001</v>
      </c>
      <c r="I37" s="102">
        <f t="shared" si="9"/>
        <v>4785345.700667752</v>
      </c>
      <c r="K37" s="107">
        <v>4.1333333333333337</v>
      </c>
      <c r="L37" s="108">
        <v>3.4048161673851563E-3</v>
      </c>
      <c r="M37" s="109">
        <v>3039436.0324475844</v>
      </c>
      <c r="N37" s="109">
        <v>570491.12332068128</v>
      </c>
      <c r="O37" s="109">
        <v>897855.66171503894</v>
      </c>
      <c r="P37" s="109">
        <v>187311.42905000001</v>
      </c>
      <c r="Q37" s="102">
        <f t="shared" si="10"/>
        <v>4695094.2465333054</v>
      </c>
      <c r="S37" s="107">
        <v>4</v>
      </c>
      <c r="T37" s="108">
        <v>3.2397408207343412E-3</v>
      </c>
      <c r="U37" s="109">
        <v>4168574.105673613</v>
      </c>
      <c r="V37" s="109">
        <v>723452.55323423166</v>
      </c>
      <c r="W37" s="109">
        <v>881264.94230021595</v>
      </c>
      <c r="X37" s="109">
        <v>251799.65100000001</v>
      </c>
      <c r="Y37" s="102">
        <f t="shared" si="11"/>
        <v>6025091.2522080606</v>
      </c>
    </row>
    <row r="38" spans="2:25" x14ac:dyDescent="0.25">
      <c r="B38" s="98" t="s">
        <v>663</v>
      </c>
      <c r="C38" s="107">
        <v>3.5333333333333332</v>
      </c>
      <c r="D38" s="108">
        <f t="shared" si="8"/>
        <v>2.9129682046772376E-3</v>
      </c>
      <c r="E38" s="109">
        <v>3063699.0627123145</v>
      </c>
      <c r="F38" s="109">
        <v>601695.22612097126</v>
      </c>
      <c r="G38" s="109">
        <v>825375.47115886665</v>
      </c>
      <c r="H38" s="109">
        <v>169297.33515</v>
      </c>
      <c r="I38" s="102">
        <f t="shared" si="9"/>
        <v>4660067.0951421522</v>
      </c>
      <c r="K38" s="107">
        <v>3.5333333333333332</v>
      </c>
      <c r="L38" s="108">
        <v>2.9105686592163431E-3</v>
      </c>
      <c r="M38" s="109">
        <v>2862055.0942359869</v>
      </c>
      <c r="N38" s="109">
        <v>570018.7211822893</v>
      </c>
      <c r="O38" s="109">
        <v>767521.77533704927</v>
      </c>
      <c r="P38" s="109">
        <v>169297.33515</v>
      </c>
      <c r="Q38" s="102">
        <f t="shared" si="10"/>
        <v>4368892.9259053245</v>
      </c>
      <c r="S38" s="107">
        <v>3</v>
      </c>
      <c r="T38" s="108">
        <v>2.4298056155507559E-3</v>
      </c>
      <c r="U38" s="109">
        <v>2775197.064603786</v>
      </c>
      <c r="V38" s="109">
        <v>451579.61905456346</v>
      </c>
      <c r="W38" s="109">
        <v>660948.70672516199</v>
      </c>
      <c r="X38" s="109">
        <v>211264.32730000003</v>
      </c>
      <c r="Y38" s="102">
        <f t="shared" si="11"/>
        <v>4098989.7176835113</v>
      </c>
    </row>
    <row r="39" spans="2:25" x14ac:dyDescent="0.25">
      <c r="B39" s="98" t="s">
        <v>664</v>
      </c>
      <c r="C39" s="107">
        <v>7</v>
      </c>
      <c r="D39" s="108">
        <f t="shared" si="8"/>
        <v>5.7709747451152819E-3</v>
      </c>
      <c r="E39" s="109">
        <v>4384731.8350382335</v>
      </c>
      <c r="F39" s="109">
        <v>848136.51043981803</v>
      </c>
      <c r="G39" s="109">
        <v>1635177.8202203962</v>
      </c>
      <c r="H39" s="109">
        <v>228403.57900000003</v>
      </c>
      <c r="I39" s="102">
        <f t="shared" si="9"/>
        <v>7096449.7446984472</v>
      </c>
      <c r="K39" s="107">
        <v>7</v>
      </c>
      <c r="L39" s="108">
        <v>5.7662209286361513E-3</v>
      </c>
      <c r="M39" s="109">
        <v>4383640.5463466533</v>
      </c>
      <c r="N39" s="109">
        <v>847969.46609575883</v>
      </c>
      <c r="O39" s="109">
        <v>1520562.007743211</v>
      </c>
      <c r="P39" s="109">
        <v>228403.57900000003</v>
      </c>
      <c r="Q39" s="102">
        <f t="shared" si="10"/>
        <v>6980575.5991856232</v>
      </c>
      <c r="S39" s="107">
        <v>9</v>
      </c>
      <c r="T39" s="108">
        <v>7.2894168466522673E-3</v>
      </c>
      <c r="U39" s="109">
        <v>5668803.5918484377</v>
      </c>
      <c r="V39" s="109">
        <v>1038609.5977391757</v>
      </c>
      <c r="W39" s="109">
        <v>1982846.1201754857</v>
      </c>
      <c r="X39" s="109">
        <v>372144.81374999997</v>
      </c>
      <c r="Y39" s="102">
        <f t="shared" si="11"/>
        <v>9062404.1235131007</v>
      </c>
    </row>
    <row r="40" spans="2:25" x14ac:dyDescent="0.25">
      <c r="B40" s="98" t="s">
        <v>665</v>
      </c>
      <c r="C40" s="107">
        <v>12</v>
      </c>
      <c r="D40" s="108">
        <f t="shared" si="8"/>
        <v>9.8930995630547684E-3</v>
      </c>
      <c r="E40" s="109">
        <v>8573962.5743512586</v>
      </c>
      <c r="F40" s="109">
        <v>1546877.2205232598</v>
      </c>
      <c r="G40" s="109">
        <v>2803161.9775206791</v>
      </c>
      <c r="H40" s="109">
        <v>375656.69524999999</v>
      </c>
      <c r="I40" s="102">
        <f t="shared" si="9"/>
        <v>13299658.467645198</v>
      </c>
      <c r="K40" s="107">
        <v>12</v>
      </c>
      <c r="L40" s="108">
        <v>9.8849501633762587E-3</v>
      </c>
      <c r="M40" s="109">
        <v>8572091.7937371209</v>
      </c>
      <c r="N40" s="109">
        <v>1546590.8587905869</v>
      </c>
      <c r="O40" s="109">
        <v>2606677.72755979</v>
      </c>
      <c r="P40" s="109">
        <v>375656.69524999999</v>
      </c>
      <c r="Q40" s="102">
        <f t="shared" si="10"/>
        <v>13101017.075337499</v>
      </c>
      <c r="S40" s="107">
        <v>15.933333333333332</v>
      </c>
      <c r="T40" s="108">
        <v>1.2904967602591791E-2</v>
      </c>
      <c r="U40" s="109">
        <v>11516598.314457605</v>
      </c>
      <c r="V40" s="109">
        <v>2043617.7281675036</v>
      </c>
      <c r="W40" s="109">
        <v>3510372.0201625265</v>
      </c>
      <c r="X40" s="109">
        <v>940431.43900000036</v>
      </c>
      <c r="Y40" s="102">
        <f t="shared" si="11"/>
        <v>18011019.501787636</v>
      </c>
    </row>
    <row r="41" spans="2:25" x14ac:dyDescent="0.25">
      <c r="B41" s="98" t="s">
        <v>666</v>
      </c>
      <c r="C41" s="107">
        <v>1</v>
      </c>
      <c r="D41" s="108">
        <f t="shared" si="8"/>
        <v>8.2442496358789744E-4</v>
      </c>
      <c r="E41" s="109">
        <v>678122.54786260484</v>
      </c>
      <c r="F41" s="109">
        <v>125822.2591506883</v>
      </c>
      <c r="G41" s="109">
        <v>233596.83146005662</v>
      </c>
      <c r="H41" s="109">
        <v>42640.364450000001</v>
      </c>
      <c r="I41" s="102">
        <f t="shared" si="9"/>
        <v>1080182.0029233498</v>
      </c>
      <c r="K41" s="107">
        <v>1</v>
      </c>
      <c r="L41" s="108">
        <v>8.2374584694802167E-4</v>
      </c>
      <c r="M41" s="109">
        <v>817816.8404198332</v>
      </c>
      <c r="N41" s="109">
        <v>146217.84086945798</v>
      </c>
      <c r="O41" s="109">
        <v>217223.14396331587</v>
      </c>
      <c r="P41" s="109">
        <v>42640.364450000001</v>
      </c>
      <c r="Q41" s="102">
        <f t="shared" si="10"/>
        <v>1223898.189702607</v>
      </c>
      <c r="S41" s="107">
        <v>1.4333333333333333</v>
      </c>
      <c r="T41" s="108">
        <v>1.1609071274298055E-3</v>
      </c>
      <c r="U41" s="109">
        <v>1233286.6500825202</v>
      </c>
      <c r="V41" s="109">
        <v>263547.08433699672</v>
      </c>
      <c r="W41" s="109">
        <v>315786.60432424402</v>
      </c>
      <c r="X41" s="109">
        <v>110423.98575000001</v>
      </c>
      <c r="Y41" s="102">
        <f t="shared" si="11"/>
        <v>1923044.3244937609</v>
      </c>
    </row>
    <row r="42" spans="2:25" x14ac:dyDescent="0.25">
      <c r="B42" s="98" t="s">
        <v>667</v>
      </c>
      <c r="C42" s="107">
        <v>0</v>
      </c>
      <c r="D42" s="108">
        <f t="shared" si="8"/>
        <v>0</v>
      </c>
      <c r="E42" s="109">
        <v>0</v>
      </c>
      <c r="F42" s="109">
        <v>0</v>
      </c>
      <c r="G42" s="109">
        <v>0</v>
      </c>
      <c r="H42" s="109">
        <v>0</v>
      </c>
      <c r="I42" s="102">
        <f t="shared" si="9"/>
        <v>0</v>
      </c>
      <c r="K42" s="107">
        <v>0</v>
      </c>
      <c r="L42" s="108">
        <v>0</v>
      </c>
      <c r="M42" s="109">
        <v>0</v>
      </c>
      <c r="N42" s="109">
        <v>0</v>
      </c>
      <c r="O42" s="109">
        <v>0</v>
      </c>
      <c r="P42" s="109">
        <v>0</v>
      </c>
      <c r="Q42" s="102">
        <f t="shared" si="10"/>
        <v>0</v>
      </c>
      <c r="S42" s="107">
        <v>0</v>
      </c>
      <c r="T42" s="108">
        <v>0</v>
      </c>
      <c r="U42" s="109">
        <v>0</v>
      </c>
      <c r="V42" s="109">
        <v>0</v>
      </c>
      <c r="W42" s="109">
        <v>0</v>
      </c>
      <c r="X42" s="109">
        <v>0</v>
      </c>
      <c r="Y42" s="102">
        <f t="shared" si="11"/>
        <v>0</v>
      </c>
    </row>
    <row r="43" spans="2:25" x14ac:dyDescent="0.25">
      <c r="B43" s="98" t="s">
        <v>668</v>
      </c>
      <c r="C43" s="107">
        <v>0</v>
      </c>
      <c r="D43" s="108">
        <f t="shared" si="8"/>
        <v>0</v>
      </c>
      <c r="E43" s="109">
        <v>0</v>
      </c>
      <c r="F43" s="109">
        <v>0</v>
      </c>
      <c r="G43" s="109">
        <v>0</v>
      </c>
      <c r="H43" s="109">
        <v>0</v>
      </c>
      <c r="I43" s="102">
        <f t="shared" si="9"/>
        <v>0</v>
      </c>
      <c r="K43" s="107">
        <v>0</v>
      </c>
      <c r="L43" s="108">
        <v>0</v>
      </c>
      <c r="M43" s="109">
        <v>0</v>
      </c>
      <c r="N43" s="109">
        <v>0</v>
      </c>
      <c r="O43" s="109">
        <v>0</v>
      </c>
      <c r="P43" s="109">
        <v>0</v>
      </c>
      <c r="Q43" s="102">
        <f t="shared" si="10"/>
        <v>0</v>
      </c>
      <c r="S43" s="107">
        <v>0</v>
      </c>
      <c r="T43" s="108">
        <v>0</v>
      </c>
      <c r="U43" s="109">
        <v>0</v>
      </c>
      <c r="V43" s="109">
        <v>0</v>
      </c>
      <c r="W43" s="109">
        <v>0</v>
      </c>
      <c r="X43" s="109">
        <v>0</v>
      </c>
      <c r="Y43" s="102">
        <f t="shared" si="11"/>
        <v>0</v>
      </c>
    </row>
    <row r="44" spans="2:25" x14ac:dyDescent="0.25">
      <c r="B44" s="98" t="s">
        <v>669</v>
      </c>
      <c r="C44" s="107">
        <v>0</v>
      </c>
      <c r="D44" s="108">
        <f t="shared" si="8"/>
        <v>0</v>
      </c>
      <c r="E44" s="109">
        <v>2889895.35</v>
      </c>
      <c r="F44" s="109">
        <v>567108.26</v>
      </c>
      <c r="G44" s="109">
        <v>0</v>
      </c>
      <c r="H44" s="109">
        <v>157882.41</v>
      </c>
      <c r="I44" s="102">
        <f t="shared" si="9"/>
        <v>3614886.0200000005</v>
      </c>
      <c r="K44" s="107">
        <v>0</v>
      </c>
      <c r="L44" s="108">
        <v>0</v>
      </c>
      <c r="M44" s="109">
        <v>0</v>
      </c>
      <c r="N44" s="109">
        <v>0</v>
      </c>
      <c r="O44" s="109">
        <v>0</v>
      </c>
      <c r="P44" s="109">
        <v>0</v>
      </c>
      <c r="Q44" s="102">
        <f t="shared" si="10"/>
        <v>0</v>
      </c>
      <c r="S44" s="107">
        <v>0</v>
      </c>
      <c r="T44" s="108">
        <v>0</v>
      </c>
      <c r="U44" s="109">
        <v>0</v>
      </c>
      <c r="V44" s="109">
        <v>0</v>
      </c>
      <c r="W44" s="109">
        <v>0</v>
      </c>
      <c r="X44" s="109">
        <v>0</v>
      </c>
      <c r="Y44" s="102">
        <f t="shared" si="11"/>
        <v>0</v>
      </c>
    </row>
    <row r="45" spans="2:25" x14ac:dyDescent="0.25">
      <c r="C45" s="110">
        <v>1212.9666666666667</v>
      </c>
      <c r="D45" s="111">
        <f>SUM(D26:D44)</f>
        <v>0.99999999999999989</v>
      </c>
      <c r="E45" s="105">
        <f>SUM(E26:E44)</f>
        <v>849379625.65475607</v>
      </c>
      <c r="F45" s="105">
        <f t="shared" ref="F45:I45" si="12">SUM(F26:F44)</f>
        <v>157586553.78028476</v>
      </c>
      <c r="G45" s="105">
        <f t="shared" si="12"/>
        <v>283345170.00000006</v>
      </c>
      <c r="H45" s="105">
        <f t="shared" si="12"/>
        <v>46160724.254749998</v>
      </c>
      <c r="I45" s="105">
        <f t="shared" si="12"/>
        <v>1336472073.6897907</v>
      </c>
      <c r="K45" s="110">
        <v>1213.9666666666667</v>
      </c>
      <c r="L45" s="111">
        <v>0.99999999999999989</v>
      </c>
      <c r="M45" s="105">
        <f>SUM(M26:M44)</f>
        <v>847640222.90345168</v>
      </c>
      <c r="N45" s="105">
        <f t="shared" ref="N45:Q45" si="13">SUM(N26:N44)</f>
        <v>157242014.11536252</v>
      </c>
      <c r="O45" s="105">
        <f t="shared" si="13"/>
        <v>263701656.00000003</v>
      </c>
      <c r="P45" s="105">
        <f t="shared" si="13"/>
        <v>46002841.844750002</v>
      </c>
      <c r="Q45" s="105">
        <f t="shared" si="13"/>
        <v>1314586734.8635638</v>
      </c>
      <c r="S45" s="110">
        <v>1213.9666666666667</v>
      </c>
      <c r="T45" s="111">
        <v>0.99999999999999989</v>
      </c>
      <c r="U45" s="105">
        <f>SUM(U26:U44)</f>
        <v>911658521.23000026</v>
      </c>
      <c r="V45" s="105">
        <f t="shared" ref="V45:Y45" si="14">SUM(V26:V44)</f>
        <v>164845274.00717992</v>
      </c>
      <c r="W45" s="105">
        <f t="shared" si="14"/>
        <v>272017112.18999994</v>
      </c>
      <c r="X45" s="105">
        <f t="shared" si="14"/>
        <v>71519948.773599982</v>
      </c>
      <c r="Y45" s="105">
        <f t="shared" si="14"/>
        <v>1420040856.2007797</v>
      </c>
    </row>
  </sheetData>
  <mergeCells count="3">
    <mergeCell ref="C2:I2"/>
    <mergeCell ref="K2:Q2"/>
    <mergeCell ref="S2:Y2"/>
  </mergeCells>
  <pageMargins left="0.7" right="0.7" top="0.75" bottom="0.75" header="0.3" footer="0.3"/>
  <ignoredErrors>
    <ignoredError sqref="Y26:Y44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7BC2-04C4-47D9-8B62-4A77B01DBF87}">
  <dimension ref="B2:N47"/>
  <sheetViews>
    <sheetView workbookViewId="0">
      <selection activeCell="D25" sqref="D25:D37"/>
    </sheetView>
  </sheetViews>
  <sheetFormatPr baseColWidth="10" defaultRowHeight="15" x14ac:dyDescent="0.25"/>
  <cols>
    <col min="2" max="2" width="49.5703125" bestFit="1" customWidth="1"/>
    <col min="3" max="3" width="12.85546875" bestFit="1" customWidth="1"/>
    <col min="4" max="4" width="14.140625" style="112" customWidth="1"/>
    <col min="13" max="13" width="14.140625" bestFit="1" customWidth="1"/>
  </cols>
  <sheetData>
    <row r="2" spans="2:4" x14ac:dyDescent="0.25">
      <c r="B2" s="112"/>
      <c r="C2" s="113">
        <v>46143</v>
      </c>
      <c r="D2" s="113">
        <v>46174</v>
      </c>
    </row>
    <row r="3" spans="2:4" x14ac:dyDescent="0.25">
      <c r="B3" s="114" t="s">
        <v>671</v>
      </c>
      <c r="C3" s="115"/>
      <c r="D3" s="115"/>
    </row>
    <row r="4" spans="2:4" x14ac:dyDescent="0.25">
      <c r="B4" s="112" t="s">
        <v>672</v>
      </c>
      <c r="C4" s="116">
        <v>709896.87</v>
      </c>
      <c r="D4" s="116">
        <v>721091.25</v>
      </c>
    </row>
    <row r="5" spans="2:4" x14ac:dyDescent="0.25">
      <c r="B5" s="112" t="s">
        <v>673</v>
      </c>
      <c r="C5" s="116">
        <v>62500</v>
      </c>
      <c r="D5" s="116">
        <v>62500</v>
      </c>
    </row>
    <row r="6" spans="2:4" x14ac:dyDescent="0.25">
      <c r="B6" s="112" t="s">
        <v>674</v>
      </c>
      <c r="C6" s="116">
        <f>20000/48*30</f>
        <v>12500</v>
      </c>
      <c r="D6" s="116">
        <v>12500</v>
      </c>
    </row>
    <row r="7" spans="2:4" x14ac:dyDescent="0.25">
      <c r="B7" s="112"/>
      <c r="C7" s="117">
        <f>SUM(C4:C6)</f>
        <v>784896.87</v>
      </c>
      <c r="D7" s="117">
        <f>SUM(D4:D6)</f>
        <v>796091.25</v>
      </c>
    </row>
    <row r="8" spans="2:4" x14ac:dyDescent="0.25">
      <c r="B8" s="118"/>
      <c r="C8" s="118"/>
      <c r="D8" s="118"/>
    </row>
    <row r="9" spans="2:4" x14ac:dyDescent="0.25">
      <c r="B9" s="112"/>
      <c r="C9" s="112"/>
    </row>
    <row r="10" spans="2:4" x14ac:dyDescent="0.25">
      <c r="B10" s="112"/>
      <c r="C10" s="113">
        <v>46143</v>
      </c>
      <c r="D10" s="113">
        <v>46174</v>
      </c>
    </row>
    <row r="11" spans="2:4" x14ac:dyDescent="0.25">
      <c r="B11" s="114" t="s">
        <v>675</v>
      </c>
      <c r="C11" s="115"/>
      <c r="D11" s="115"/>
    </row>
    <row r="12" spans="2:4" x14ac:dyDescent="0.25">
      <c r="B12" s="112" t="s">
        <v>672</v>
      </c>
      <c r="C12" s="116">
        <v>615243.96</v>
      </c>
      <c r="D12" s="116">
        <v>624945.75</v>
      </c>
    </row>
    <row r="13" spans="2:4" x14ac:dyDescent="0.25">
      <c r="B13" s="112" t="s">
        <v>673</v>
      </c>
      <c r="C13" s="116">
        <v>54166.67</v>
      </c>
      <c r="D13" s="116">
        <v>54166.67</v>
      </c>
    </row>
    <row r="14" spans="2:4" x14ac:dyDescent="0.25">
      <c r="B14" s="112" t="s">
        <v>674</v>
      </c>
      <c r="C14" s="116">
        <f>20000/48*26</f>
        <v>10833.333333333334</v>
      </c>
      <c r="D14" s="116">
        <f>20000/48*26</f>
        <v>10833.333333333334</v>
      </c>
    </row>
    <row r="15" spans="2:4" x14ac:dyDescent="0.25">
      <c r="B15" s="112"/>
      <c r="C15" s="117">
        <f>SUM(C12:C14)</f>
        <v>680243.96333333338</v>
      </c>
      <c r="D15" s="117">
        <f>SUM(D12:D14)</f>
        <v>689945.75333333341</v>
      </c>
    </row>
    <row r="18" spans="2:14" x14ac:dyDescent="0.25">
      <c r="B18" s="112"/>
      <c r="C18" s="113">
        <v>46143</v>
      </c>
      <c r="D18" s="113">
        <v>46174</v>
      </c>
    </row>
    <row r="19" spans="2:14" x14ac:dyDescent="0.25">
      <c r="B19" s="114" t="s">
        <v>676</v>
      </c>
      <c r="C19" s="115"/>
      <c r="D19" s="115"/>
    </row>
    <row r="20" spans="2:14" x14ac:dyDescent="0.25">
      <c r="B20" s="112" t="s">
        <v>672</v>
      </c>
      <c r="C20" s="116">
        <v>473264.58</v>
      </c>
      <c r="D20" s="116">
        <v>624945.75</v>
      </c>
    </row>
    <row r="21" spans="2:14" x14ac:dyDescent="0.25">
      <c r="B21" s="112" t="s">
        <v>673</v>
      </c>
      <c r="C21" s="116">
        <v>41666.67</v>
      </c>
      <c r="D21" s="116">
        <v>54166.67</v>
      </c>
    </row>
    <row r="22" spans="2:14" x14ac:dyDescent="0.25">
      <c r="B22" s="112" t="s">
        <v>674</v>
      </c>
      <c r="C22" s="116">
        <v>8333.33</v>
      </c>
      <c r="D22" s="116">
        <f>20000/48*26</f>
        <v>10833.333333333334</v>
      </c>
    </row>
    <row r="23" spans="2:14" x14ac:dyDescent="0.25">
      <c r="B23" s="112"/>
      <c r="C23" s="117">
        <f>SUM(C20:C22)</f>
        <v>523264.58</v>
      </c>
      <c r="D23" s="117">
        <f>SUM(D20:D22)</f>
        <v>689945.75333333341</v>
      </c>
    </row>
    <row r="24" spans="2:14" x14ac:dyDescent="0.25">
      <c r="B24" s="112"/>
      <c r="C24" s="112"/>
    </row>
    <row r="25" spans="2:14" x14ac:dyDescent="0.25">
      <c r="B25" s="112"/>
      <c r="C25" s="113">
        <v>46143</v>
      </c>
      <c r="D25" s="113">
        <v>46174</v>
      </c>
    </row>
    <row r="26" spans="2:14" x14ac:dyDescent="0.25">
      <c r="B26" s="114" t="s">
        <v>677</v>
      </c>
      <c r="C26" s="115"/>
      <c r="D26" s="115"/>
      <c r="M26" s="116"/>
    </row>
    <row r="27" spans="2:14" x14ac:dyDescent="0.25">
      <c r="B27" s="112" t="s">
        <v>672</v>
      </c>
      <c r="C27" s="116">
        <v>695547.5</v>
      </c>
      <c r="D27" s="116">
        <v>706533.75</v>
      </c>
      <c r="M27" s="116"/>
      <c r="N27" s="119"/>
    </row>
    <row r="28" spans="2:14" x14ac:dyDescent="0.25">
      <c r="B28" s="112" t="s">
        <v>673</v>
      </c>
      <c r="C28" s="118">
        <v>62500</v>
      </c>
      <c r="D28" s="116">
        <v>62500</v>
      </c>
      <c r="M28" s="116"/>
    </row>
    <row r="29" spans="2:14" x14ac:dyDescent="0.25">
      <c r="B29" s="112" t="s">
        <v>674</v>
      </c>
      <c r="C29" s="116">
        <f>20000/48*30</f>
        <v>12500</v>
      </c>
      <c r="D29" s="116">
        <f>20000/48*30</f>
        <v>12500</v>
      </c>
    </row>
    <row r="30" spans="2:14" x14ac:dyDescent="0.25">
      <c r="B30" s="112"/>
      <c r="C30" s="117">
        <f>SUM(C27:C29)</f>
        <v>770547.5</v>
      </c>
      <c r="D30" s="117">
        <f>SUM(D27:D29)</f>
        <v>781533.75</v>
      </c>
    </row>
    <row r="31" spans="2:14" x14ac:dyDescent="0.25">
      <c r="B31" s="112"/>
      <c r="C31" s="112"/>
    </row>
    <row r="32" spans="2:14" x14ac:dyDescent="0.25">
      <c r="B32" s="112"/>
      <c r="C32" s="113">
        <v>46143</v>
      </c>
      <c r="D32" s="113">
        <v>46174</v>
      </c>
    </row>
    <row r="33" spans="2:4" x14ac:dyDescent="0.25">
      <c r="B33" s="114" t="s">
        <v>678</v>
      </c>
      <c r="C33" s="115"/>
      <c r="D33" s="115"/>
    </row>
    <row r="34" spans="2:4" x14ac:dyDescent="0.25">
      <c r="B34" s="112" t="s">
        <v>672</v>
      </c>
      <c r="C34" s="116">
        <v>692576.25</v>
      </c>
      <c r="D34" s="116">
        <v>703519.38</v>
      </c>
    </row>
    <row r="35" spans="2:4" x14ac:dyDescent="0.25">
      <c r="B35" s="112" t="s">
        <v>673</v>
      </c>
      <c r="C35" s="116">
        <v>62500</v>
      </c>
      <c r="D35" s="116">
        <v>62500</v>
      </c>
    </row>
    <row r="36" spans="2:4" x14ac:dyDescent="0.25">
      <c r="B36" s="112" t="s">
        <v>674</v>
      </c>
      <c r="C36" s="116">
        <f>20000/48*30</f>
        <v>12500</v>
      </c>
      <c r="D36" s="116">
        <f>20000/48*30</f>
        <v>12500</v>
      </c>
    </row>
    <row r="37" spans="2:4" x14ac:dyDescent="0.25">
      <c r="B37" s="112"/>
      <c r="C37" s="117">
        <f>SUM(C34:C36)</f>
        <v>767576.25</v>
      </c>
      <c r="D37" s="117">
        <f>SUM(D34:D36)</f>
        <v>778519.38</v>
      </c>
    </row>
    <row r="38" spans="2:4" x14ac:dyDescent="0.25">
      <c r="B38" s="112"/>
      <c r="C38" s="112"/>
    </row>
    <row r="47" spans="2:4" x14ac:dyDescent="0.25">
      <c r="D47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FLUJO DE CAJA</vt:lpstr>
      <vt:lpstr>Facturas - NC</vt:lpstr>
      <vt:lpstr>Facturas USD</vt:lpstr>
      <vt:lpstr>Facturas lxj</vt:lpstr>
      <vt:lpstr>Consolidado</vt:lpstr>
      <vt:lpstr>Registro de cheques</vt:lpstr>
      <vt:lpstr>Costos indirectos</vt:lpstr>
      <vt:lpstr>Sueldos</vt:lpstr>
      <vt:lpstr>Sueldos convenio</vt:lpstr>
      <vt:lpstr>'Registro de cheques'!Área_de_impresión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Contreras</dc:creator>
  <cp:lastModifiedBy>Lucia Contreras</cp:lastModifiedBy>
  <dcterms:created xsi:type="dcterms:W3CDTF">2026-05-08T14:19:16Z</dcterms:created>
  <dcterms:modified xsi:type="dcterms:W3CDTF">2026-07-08T12:58:24Z</dcterms:modified>
</cp:coreProperties>
</file>